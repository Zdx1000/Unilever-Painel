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34acbc490037a6/Desktop/Projetos/Uni.co/dados/"/>
    </mc:Choice>
  </mc:AlternateContent>
  <xr:revisionPtr revIDLastSave="24" documentId="13_ncr:1_{3BFB1D67-B14B-499A-9732-AB72FC21465C}" xr6:coauthVersionLast="47" xr6:coauthVersionMax="47" xr10:uidLastSave="{35F59B22-2DA0-40D5-A35D-413E3E39D3EA}"/>
  <bookViews>
    <workbookView xWindow="4800" yWindow="585" windowWidth="14355" windowHeight="9075" activeTab="1" xr2:uid="{7BEDBE9F-36BD-4617-996F-6BA139BC564D}"/>
  </bookViews>
  <sheets>
    <sheet name="Apuração" sheetId="9" r:id="rId1"/>
    <sheet name="Metas e realizado" sheetId="10" r:id="rId2"/>
    <sheet name="Sort. - Pond" sheetId="11" r:id="rId3"/>
    <sheet name="Sort. - Num" sheetId="12" r:id="rId4"/>
    <sheet name="EANS_PPA" sheetId="13" r:id="rId5"/>
    <sheet name="MetasExecução" sheetId="14" r:id="rId6"/>
    <sheet name="Resumo_Ponderada" sheetId="15" r:id="rId7"/>
    <sheet name="mira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5" l="1" a="1"/>
  <c r="B6" i="15" s="1"/>
  <c r="B5" i="15" a="1"/>
  <c r="B5" i="15" s="1"/>
  <c r="B6" i="14" a="1"/>
  <c r="B6" i="14" s="1"/>
  <c r="B5" i="14" a="1"/>
  <c r="B5" i="14" s="1"/>
  <c r="B6" i="13" a="1"/>
  <c r="B6" i="13" s="1"/>
  <c r="B5" i="13" a="1"/>
  <c r="B5" i="13" s="1"/>
  <c r="B6" i="12" a="1"/>
  <c r="B6" i="12" s="1"/>
  <c r="B5" i="12" a="1"/>
  <c r="B5" i="12" s="1"/>
  <c r="B6" i="11" a="1"/>
  <c r="B6" i="11" s="1"/>
  <c r="B5" i="11" a="1"/>
  <c r="B5" i="11" s="1"/>
  <c r="B6" i="10" a="1"/>
  <c r="B6" i="10" s="1"/>
  <c r="B5" i="10" a="1"/>
  <c r="B5" i="10" s="1"/>
  <c r="K27" i="9"/>
  <c r="J26" i="9"/>
  <c r="I26" i="9"/>
  <c r="H26" i="9"/>
  <c r="G26" i="9"/>
  <c r="F26" i="9"/>
  <c r="E26" i="9"/>
  <c r="K26" i="9" s="1"/>
  <c r="J25" i="9"/>
  <c r="I25" i="9"/>
  <c r="H25" i="9"/>
  <c r="G25" i="9"/>
  <c r="F25" i="9"/>
  <c r="E25" i="9"/>
  <c r="K25" i="9" s="1"/>
  <c r="B6" i="9" a="1"/>
  <c r="B6" i="9" s="1"/>
  <c r="B5" i="9" a="1"/>
  <c r="B5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<sst xmlns="http://schemas.openxmlformats.org/spreadsheetml/2006/main" count="9938" uniqueCount="2335">
  <si>
    <t>Considerações:</t>
  </si>
  <si>
    <t>A Base de lojas está disponível no VIU. (rel. Base Potencial a partir de Abril/2026)</t>
  </si>
  <si>
    <t>Todo novo PDV que for CNPJ válido/ Não for segmento Farma, nem PDVs atendidos pelo VD será incluido inicialmente como Num. C e valerá para o KPI Cobertura Numérica</t>
  </si>
  <si>
    <t>Classificação PDVs X KPIS</t>
  </si>
  <si>
    <t>Apuração</t>
  </si>
  <si>
    <t>YTD</t>
  </si>
  <si>
    <t>Mensal</t>
  </si>
  <si>
    <t>Bimestre móvel</t>
  </si>
  <si>
    <t>Classificação / KPIs</t>
  </si>
  <si>
    <t>FAT.</t>
  </si>
  <si>
    <t>Cob Pond</t>
  </si>
  <si>
    <t>Sort Pond</t>
  </si>
  <si>
    <t>Exec Pod</t>
  </si>
  <si>
    <t>Cob Num.</t>
  </si>
  <si>
    <t>Sort Num.</t>
  </si>
  <si>
    <t>Pond. Rede</t>
  </si>
  <si>
    <t>X</t>
  </si>
  <si>
    <t>Pond. Independente</t>
  </si>
  <si>
    <t>Num. A</t>
  </si>
  <si>
    <t>Num. B</t>
  </si>
  <si>
    <t>Num. C</t>
  </si>
  <si>
    <t>Atacados</t>
  </si>
  <si>
    <t>Todos Kpis são avaliados em faixas de ganho</t>
  </si>
  <si>
    <t>KPIs / Faixa</t>
  </si>
  <si>
    <t>TT</t>
  </si>
  <si>
    <t>Ganho Máximo - 100% Premiação</t>
  </si>
  <si>
    <t>Ganho Intermediário - 50% Premiação</t>
  </si>
  <si>
    <t>Ganho Minimo - 30% Premiação</t>
  </si>
  <si>
    <t>Sem Ganho - 0% Premiação</t>
  </si>
  <si>
    <t>KPIS Personalizados do AE por BU</t>
  </si>
  <si>
    <t>TODOS</t>
  </si>
  <si>
    <t>Exec Pond</t>
  </si>
  <si>
    <t>BW</t>
  </si>
  <si>
    <t>FR</t>
  </si>
  <si>
    <t>HC</t>
  </si>
  <si>
    <t>PC</t>
  </si>
  <si>
    <t>Apuração Faturamento</t>
  </si>
  <si>
    <t>Considera base Ponderada, Numérica + Atacados</t>
  </si>
  <si>
    <r>
      <t xml:space="preserve">Meta em 3 faixas de </t>
    </r>
    <r>
      <rPr>
        <b/>
        <sz val="11"/>
        <color theme="1"/>
        <rFont val="Calibri"/>
        <family val="2"/>
        <scheme val="minor"/>
      </rPr>
      <t xml:space="preserve">Faturamento YTD </t>
    </r>
  </si>
  <si>
    <t xml:space="preserve">EX. a meta de abril é construida com base no faturamento de jan a abril de 2025 + crescimento e é considerado o faturamento de jan à abril de 2026 </t>
  </si>
  <si>
    <t>Apuração Ponderada</t>
  </si>
  <si>
    <r>
      <t xml:space="preserve">Apuração mensal, </t>
    </r>
    <r>
      <rPr>
        <b/>
        <sz val="11"/>
        <color theme="1"/>
        <rFont val="Calibri"/>
        <family val="2"/>
        <scheme val="minor"/>
      </rPr>
      <t>sempre por rede, não considera bonificação</t>
    </r>
  </si>
  <si>
    <t>Cobertura:</t>
  </si>
  <si>
    <t>Meta em 3 faixas de quantidade de redes positivadas no mês</t>
  </si>
  <si>
    <t>Para que a rede seja considerada positivada precisa faturar valor mínimo conforme Estado e BU</t>
  </si>
  <si>
    <t>Estado</t>
  </si>
  <si>
    <t>BU</t>
  </si>
  <si>
    <t>Valor Mínimo Faturamento da Rede</t>
  </si>
  <si>
    <t/>
  </si>
  <si>
    <t>Sortimento:</t>
  </si>
  <si>
    <r>
      <t xml:space="preserve">Meta em 3 faixas de </t>
    </r>
    <r>
      <rPr>
        <b/>
        <sz val="11"/>
        <color theme="1"/>
        <rFont val="Calibri"/>
        <family val="2"/>
        <scheme val="minor"/>
      </rPr>
      <t>EANs/redes da lista de sortimento</t>
    </r>
    <r>
      <rPr>
        <sz val="11"/>
        <color theme="1"/>
        <rFont val="Calibri"/>
        <family val="2"/>
        <scheme val="minor"/>
      </rPr>
      <t xml:space="preserve"> personalizada por AE/BU</t>
    </r>
  </si>
  <si>
    <t>Para uma EAN ser considerado positivado na rede, precisa ter 3 itens X número de Lojas</t>
  </si>
  <si>
    <t>Se uma rede não tem compra é considerado 0 na conta da média de sortimento</t>
  </si>
  <si>
    <t>Execução:</t>
  </si>
  <si>
    <t>Meta em 3 faixas de quantidade de redes com execução compliance no mês</t>
  </si>
  <si>
    <t>Para uma loja ser considerada  com execução OK, ela deve ter o PE e os dois preços OK em duas visitas no mês em semanas diferentes.</t>
  </si>
  <si>
    <t>A apuração será realizada via pesquisa a ser realizada pelo RCA no aplicativo MiraPDV</t>
  </si>
  <si>
    <t>CD não entram na conta se estiver identificados como tal</t>
  </si>
  <si>
    <r>
      <t xml:space="preserve">Para uma rede estar compliance ela deve ter </t>
    </r>
    <r>
      <rPr>
        <b/>
        <sz val="11"/>
        <color theme="1"/>
        <rFont val="Calibri"/>
        <family val="2"/>
        <scheme val="minor"/>
      </rPr>
      <t xml:space="preserve">50% </t>
    </r>
    <r>
      <rPr>
        <sz val="11"/>
        <color theme="1"/>
        <rFont val="Calibri"/>
        <family val="2"/>
        <scheme val="minor"/>
      </rPr>
      <t>das Lojas com execução OK (dois preços e um PE)</t>
    </r>
  </si>
  <si>
    <t>Apuração Numérica</t>
  </si>
  <si>
    <t>Apuração bimestral (bimestre móvel) por loja, considera bonificação</t>
  </si>
  <si>
    <t>Meta em 3 faixas de quantidade de Lojas positivadas no mês</t>
  </si>
  <si>
    <r>
      <t xml:space="preserve">Para que a Rede seja considerada positivada precisa faturar </t>
    </r>
    <r>
      <rPr>
        <b/>
        <sz val="11"/>
        <color theme="1"/>
        <rFont val="Calibri"/>
        <family val="2"/>
        <scheme val="minor"/>
      </rPr>
      <t xml:space="preserve">R$10,00 </t>
    </r>
    <r>
      <rPr>
        <sz val="11"/>
        <color theme="1"/>
        <rFont val="Calibri"/>
        <family val="2"/>
        <scheme val="minor"/>
      </rPr>
      <t>na BU no bimestre</t>
    </r>
  </si>
  <si>
    <r>
      <t xml:space="preserve">Meta em 3 faixas de </t>
    </r>
    <r>
      <rPr>
        <b/>
        <sz val="11"/>
        <color theme="1"/>
        <rFont val="Calibri"/>
        <family val="2"/>
        <scheme val="minor"/>
      </rPr>
      <t>PPAS/loja da lista de sortimento da numérica</t>
    </r>
    <r>
      <rPr>
        <sz val="11"/>
        <color theme="1"/>
        <rFont val="Calibri"/>
        <family val="2"/>
        <scheme val="minor"/>
      </rPr>
      <t xml:space="preserve"> personalizada por AE/BU</t>
    </r>
  </si>
  <si>
    <t>Metas e Acompanhamento</t>
  </si>
  <si>
    <t>Faixa máxima</t>
  </si>
  <si>
    <t xml:space="preserve">Faixa intermediária </t>
  </si>
  <si>
    <t>Faixa mínima</t>
  </si>
  <si>
    <t>Região</t>
  </si>
  <si>
    <t>AE</t>
  </si>
  <si>
    <t>KPI</t>
  </si>
  <si>
    <t>Unidade de Medida</t>
  </si>
  <si>
    <t>(100% do ganho)</t>
  </si>
  <si>
    <t>(50% do ganho)</t>
  </si>
  <si>
    <t xml:space="preserve"> (30% do ganho)</t>
  </si>
  <si>
    <t>Potencial Ganho</t>
  </si>
  <si>
    <t>Realizado</t>
  </si>
  <si>
    <t>% da Meta 1</t>
  </si>
  <si>
    <t>Faixa</t>
  </si>
  <si>
    <t>Ganho</t>
  </si>
  <si>
    <t>Leste</t>
  </si>
  <si>
    <t>MD</t>
  </si>
  <si>
    <t>Cob. Numérica</t>
  </si>
  <si>
    <t>PDVs</t>
  </si>
  <si>
    <t>Abaixo faixa mínima</t>
  </si>
  <si>
    <t>Sortimento Numérica</t>
  </si>
  <si>
    <t>PPAs/PDV</t>
  </si>
  <si>
    <t>Sortimento Ponderada</t>
  </si>
  <si>
    <t>EANs/Rede</t>
  </si>
  <si>
    <t>Faturamento - YTD</t>
  </si>
  <si>
    <t>Real (R$)</t>
  </si>
  <si>
    <t>Cob. Ponderada</t>
  </si>
  <si>
    <t>Redes</t>
  </si>
  <si>
    <t>Execução Ponderada</t>
  </si>
  <si>
    <t>Lista de Sortimentos Ponderada (EANS que são considerados na conta de EANS/Rede)</t>
  </si>
  <si>
    <t>Região do Sortimento</t>
  </si>
  <si>
    <t>Categoria</t>
  </si>
  <si>
    <t>Descricao</t>
  </si>
  <si>
    <t>EAN Regular</t>
  </si>
  <si>
    <t>Outros EANS válidos</t>
  </si>
  <si>
    <t>Total de Redes</t>
  </si>
  <si>
    <t>Redes com Compra no mês</t>
  </si>
  <si>
    <t>% das Redes</t>
  </si>
  <si>
    <t>AMACIANTES</t>
  </si>
  <si>
    <t>COMFORT AMAC áPURO CUIDADO 12X1L</t>
  </si>
  <si>
    <t>7891150042131</t>
  </si>
  <si>
    <t>-</t>
  </si>
  <si>
    <t>COMFORT AMAC BRISA ELEGANTE DP 12X900ML</t>
  </si>
  <si>
    <t>7891150094178</t>
  </si>
  <si>
    <t>COMFORT AMAC ENERGIA FLORAL DP 12X900ML</t>
  </si>
  <si>
    <t>7891150094123</t>
  </si>
  <si>
    <t>COMFORT AMAC EXPERT CARE F PR 12X500ML</t>
  </si>
  <si>
    <t>7891150045460</t>
  </si>
  <si>
    <t xml:space="preserve"> 7891150079991</t>
  </si>
  <si>
    <t>COMFORT AMAC EXPERT CARE FIBER PRO 12X1L</t>
  </si>
  <si>
    <t>7891150045484</t>
  </si>
  <si>
    <t>COMFORT AMAC INT CUID ESS DP 12X900ML</t>
  </si>
  <si>
    <t>7891150054585</t>
  </si>
  <si>
    <t>COMFORT AMAC INT CUID ESSENCIAL 12X500ML</t>
  </si>
  <si>
    <t>7891150000971</t>
  </si>
  <si>
    <t xml:space="preserve"> 7891150048492</t>
  </si>
  <si>
    <t>COMFORT AMAC INT PURO CUID DP 12X900ML</t>
  </si>
  <si>
    <t>7891150054561</t>
  </si>
  <si>
    <t>COMFORT AMAC INT PURO CUIDADO 12X500ML</t>
  </si>
  <si>
    <t>7891150039001</t>
  </si>
  <si>
    <t xml:space="preserve"> 7891150048485</t>
  </si>
  <si>
    <t>COMFORT AMAC INTENSE CUID ESSENC 12X1L</t>
  </si>
  <si>
    <t>7891150028944</t>
  </si>
  <si>
    <t>COMFORT AMAC LAVANDA ED ESP DP 12X900ML</t>
  </si>
  <si>
    <t>7891150090477</t>
  </si>
  <si>
    <t>COMFORT AMAC SEGREDOS 10 12X1L</t>
  </si>
  <si>
    <t>7891150105843</t>
  </si>
  <si>
    <t>COMFORT AMAC SEGREDOS 10 12X500ML</t>
  </si>
  <si>
    <t>7891150105836</t>
  </si>
  <si>
    <t>COMFORT AMAC SEGREDOS 10 DP 12X900ML</t>
  </si>
  <si>
    <t>7891150106024</t>
  </si>
  <si>
    <t>COMFORT AMAC SEGREDOS 48 12X1L</t>
  </si>
  <si>
    <t>7891150091993</t>
  </si>
  <si>
    <t>COMFORT CRTS PERF ED ESP SEGRED 12X275G</t>
  </si>
  <si>
    <t>7891150105867</t>
  </si>
  <si>
    <t>COMFORT CRTS PERF EUF FLORAL 12X275G</t>
  </si>
  <si>
    <t>7891150098725</t>
  </si>
  <si>
    <t>COMFORT CRTS PERF EX FRESCOR 12X275G</t>
  </si>
  <si>
    <t>7891150098732</t>
  </si>
  <si>
    <t>COMFORT AMAC EXPERT CARE HYDRA SE 12X1L</t>
  </si>
  <si>
    <t>7891150042117</t>
  </si>
  <si>
    <t>FOFO AMAC CONC AZUL TUDAO 12X1L</t>
  </si>
  <si>
    <t>7891150092730</t>
  </si>
  <si>
    <t>FOFO AMAC CONC AZUL TUDAO DP 12X900ML</t>
  </si>
  <si>
    <t>7891150092709</t>
  </si>
  <si>
    <t>DETERGENTE LIQUIDO</t>
  </si>
  <si>
    <t>BRILHANTE DT LIQ LIMP TOT 4X3L NE</t>
  </si>
  <si>
    <t>7891150020672</t>
  </si>
  <si>
    <t>BRILHANTE DT LIQ LIMP TOT12X900ML NE</t>
  </si>
  <si>
    <t>7891150066519</t>
  </si>
  <si>
    <t>BRILHANTE DT LIQ PERFUME EXTR 12X900ML</t>
  </si>
  <si>
    <t>7891150105249</t>
  </si>
  <si>
    <t>BRILHANTE DT LIQ PERFUME EXTR 4X3L</t>
  </si>
  <si>
    <t>7891150105218</t>
  </si>
  <si>
    <t>OMO DT LIQ +PURO CUID 12X900ML NE</t>
  </si>
  <si>
    <t>7891150064935</t>
  </si>
  <si>
    <t>OMO DT LIQ +PURO CUIDADO 4X3L NE</t>
  </si>
  <si>
    <t>7891150044906</t>
  </si>
  <si>
    <t>OMO DT LIQ AÇAO ANTIODOR 12X750ML</t>
  </si>
  <si>
    <t>7891150104280</t>
  </si>
  <si>
    <t>OMO DT LIQ AÇAO ANTIODOR 6X1.4L</t>
  </si>
  <si>
    <t>7891150104310</t>
  </si>
  <si>
    <t>OMO DT LIQ AÇAO CUIDADO 12X750ML</t>
  </si>
  <si>
    <t>7891150104266</t>
  </si>
  <si>
    <t>OMO DT LIQ AÇAO CUIDADO 6X1.4L</t>
  </si>
  <si>
    <t>7891150104297</t>
  </si>
  <si>
    <t>OMO DT LIQ AÇAO RAPIDA 12X750ML</t>
  </si>
  <si>
    <t>7891150104273</t>
  </si>
  <si>
    <t>OMO DT LIQ AÇAO RAPIDA 6X1.4L</t>
  </si>
  <si>
    <t>7891150104303</t>
  </si>
  <si>
    <t>OMO DT LIQ DELICADAS COCO 12X900ML</t>
  </si>
  <si>
    <t>7891150063815</t>
  </si>
  <si>
    <t>OMO DT LIQ DELICADAS ORIGINAL 12X900ML</t>
  </si>
  <si>
    <t>7891150063808</t>
  </si>
  <si>
    <t>OMO DT LIQ LAV PER 12X900ML NE</t>
  </si>
  <si>
    <t>7891150064928</t>
  </si>
  <si>
    <t>OMO DT LIQ LAV PERF 6X1.8L</t>
  </si>
  <si>
    <t>7891150107526</t>
  </si>
  <si>
    <t>OMO DT LIQ LAVAG PERF 4X3L</t>
  </si>
  <si>
    <t>7891150020689</t>
  </si>
  <si>
    <t>OMO DT LIQ LAVANDA 4X3L NE</t>
  </si>
  <si>
    <t>7891150062825</t>
  </si>
  <si>
    <t>OMO DT LIQ LAVANDA DOYP 12X900ML NE</t>
  </si>
  <si>
    <t>7891150078413</t>
  </si>
  <si>
    <t>OMO DT LIQ R FINAS DELICA BEBE12X900ML</t>
  </si>
  <si>
    <t>7891150072800</t>
  </si>
  <si>
    <t>SURF 5 EM 1 CM CUIDADO DO COCO SACHET PLAST 900ML 7891150091047</t>
  </si>
  <si>
    <t>7891150091047</t>
  </si>
  <si>
    <t>SURF 5 EM 1 CM LAVANDA SACHET PLAST 900MLX12 27891150091034</t>
  </si>
  <si>
    <t>7891150091030</t>
  </si>
  <si>
    <t>SURF DT LIQ LAVANDA 4X3L</t>
  </si>
  <si>
    <t>7891150063631</t>
  </si>
  <si>
    <t>DETERGENTE PO</t>
  </si>
  <si>
    <t>BRILHANTE DT PO CUID TOTAL CT 9X1.6KG</t>
  </si>
  <si>
    <t>7891150091504</t>
  </si>
  <si>
    <t xml:space="preserve"> 7891150086463| 7891150107229</t>
  </si>
  <si>
    <t>BRILHANTE DT PO LIMPEZA T 7X1.6KG NE</t>
  </si>
  <si>
    <t>7891150086449</t>
  </si>
  <si>
    <t xml:space="preserve"> 7891150086555| 7891150107243</t>
  </si>
  <si>
    <t>BRILHANTE DT PO LIMPEZA TOTAL CT 9X2.2KG</t>
  </si>
  <si>
    <t>7891150086531</t>
  </si>
  <si>
    <t>BRILHANTE DT PO PERFUME EXTR CT 9X2.2KG</t>
  </si>
  <si>
    <t>7891150105201</t>
  </si>
  <si>
    <t>OMO DT PO BCO ABSOL 20X720G</t>
  </si>
  <si>
    <t>7891150092204</t>
  </si>
  <si>
    <t>OMO DT PO LAV PERF CART 20X700G</t>
  </si>
  <si>
    <t>7891150108622</t>
  </si>
  <si>
    <t>OMO DT PO LAVAGEM PER 9X1.6KG</t>
  </si>
  <si>
    <t>7891150064331</t>
  </si>
  <si>
    <t xml:space="preserve"> 7891150064553| 7891150093546</t>
  </si>
  <si>
    <t>OMO DT PO LAVAGEM PERFEITA CART 9X2.2KG</t>
  </si>
  <si>
    <t>7891150069121</t>
  </si>
  <si>
    <t xml:space="preserve"> 7891150069114</t>
  </si>
  <si>
    <t>OMO DT PO LAVANDA CART 9X1.6KG</t>
  </si>
  <si>
    <t>7891150080201</t>
  </si>
  <si>
    <t>OMO DT PO PURO CUIDADO CART 9X2.2KG</t>
  </si>
  <si>
    <t>7891150087231</t>
  </si>
  <si>
    <t>SURF DT PO CUIDADO DO COCO 7X1.6KG</t>
  </si>
  <si>
    <t>7891150086821</t>
  </si>
  <si>
    <t>SURF DT PO ROSAS E FLOR DE LIS 7X1.6KG</t>
  </si>
  <si>
    <t>7891150086814</t>
  </si>
  <si>
    <t>ESPECIALISTAS</t>
  </si>
  <si>
    <t>CIF DESENG DERRETE GORDURA DP 15X450ML</t>
  </si>
  <si>
    <t>7891150090750</t>
  </si>
  <si>
    <t>CIF DESENG DERRETE GORDURA GTL 12X500ML</t>
  </si>
  <si>
    <t>7891150090743</t>
  </si>
  <si>
    <t>CIF ULT RAPIDO LIMP VIDROS GTL 12X500ML</t>
  </si>
  <si>
    <t>7891150025356</t>
  </si>
  <si>
    <t xml:space="preserve"> 7891150073531</t>
  </si>
  <si>
    <t>CIF ULT RAPIDO LIMPD VIDROS DP 15X450ML</t>
  </si>
  <si>
    <t>7891150038547</t>
  </si>
  <si>
    <t>CIF ULTRA RAP BANH S/CLORO GTL 12X500ML</t>
  </si>
  <si>
    <t>7891150038585</t>
  </si>
  <si>
    <t>CIF ULTRA RAPIDO BANH S/CLORO DP15X450ML</t>
  </si>
  <si>
    <t>7891150038561</t>
  </si>
  <si>
    <t>CIF ULTRA RAPIDO DESENG DOYPACK 15X450ML</t>
  </si>
  <si>
    <t>7891150038530</t>
  </si>
  <si>
    <t>CIF ULTRA RAPIDO DESENG GTL 12X500ML</t>
  </si>
  <si>
    <t>7891150025332</t>
  </si>
  <si>
    <t xml:space="preserve"> 7891150049826</t>
  </si>
  <si>
    <t>LIMPADORES</t>
  </si>
  <si>
    <t>CIF CR LARANJA 12X250ML</t>
  </si>
  <si>
    <t>7891150034341</t>
  </si>
  <si>
    <t>CIF CREM LIMP MILA ROSAS E JASM 12X450ML</t>
  </si>
  <si>
    <t>7791290796287</t>
  </si>
  <si>
    <t>CIF CREMOSO LIMP PROF BCO 12X250ML</t>
  </si>
  <si>
    <t>7891150022010</t>
  </si>
  <si>
    <t xml:space="preserve"> 7891150090804</t>
  </si>
  <si>
    <t>CIF CREMOSO LIMP PROF LIMAO 12X250ML</t>
  </si>
  <si>
    <t>7891150022003</t>
  </si>
  <si>
    <t>CIF ESP MILA EXTERMINA LIMO DP 15X450ML</t>
  </si>
  <si>
    <t>7891150104167</t>
  </si>
  <si>
    <t>CIF ESP MILA EXTERMINA LIMO GTL 12X500ML</t>
  </si>
  <si>
    <t>7891150104129</t>
  </si>
  <si>
    <t>LIMPADOR CIF CREMOSO LARANJA 450ML</t>
  </si>
  <si>
    <t>7891150034365</t>
  </si>
  <si>
    <t>LIMPADOR CIF CREMOSO ORIGINAL 450ML</t>
  </si>
  <si>
    <t>7891150022034</t>
  </si>
  <si>
    <t xml:space="preserve"> 7891150062153</t>
  </si>
  <si>
    <t>MULTIUSO CIF CREMOSO PODER NATURAL LIMAO 450ML</t>
  </si>
  <si>
    <t>7891150022027</t>
  </si>
  <si>
    <t>VIM CLORO ADITIVADO LAVANDA 12X700ML</t>
  </si>
  <si>
    <t>7891150057524</t>
  </si>
  <si>
    <t>VIM CLORO ADITIVADO ORIGINAL 12X700ML</t>
  </si>
  <si>
    <t>7891150057517</t>
  </si>
  <si>
    <t xml:space="preserve"> 7891150090811</t>
  </si>
  <si>
    <t>AMIDOS</t>
  </si>
  <si>
    <t>MAIZENA AMIDO MILHO CART 40X500GR</t>
  </si>
  <si>
    <t>7894000010021</t>
  </si>
  <si>
    <t>MAIZENA AMIDO MILHO CART 50X200G</t>
  </si>
  <si>
    <t>7894000010014</t>
  </si>
  <si>
    <t>CALDOS</t>
  </si>
  <si>
    <t>KNORR CDO CARNE CART 16X10X3L/57G</t>
  </si>
  <si>
    <t>7891150012318</t>
  </si>
  <si>
    <t>KNORR CDO GALINHA CART 16X10X3L/57G</t>
  </si>
  <si>
    <t>7894000000275</t>
  </si>
  <si>
    <t>KNORR CDO GALINHA CART 80X6L/114G</t>
  </si>
  <si>
    <t>7894000000350</t>
  </si>
  <si>
    <t>COMPLEMENTOS ALIMENTARES</t>
  </si>
  <si>
    <t>MAIZENA CREMOGEMA MIST TRAD 48X180G</t>
  </si>
  <si>
    <t>7891150068261</t>
  </si>
  <si>
    <t>MAIONESE</t>
  </si>
  <si>
    <t>ARISCO MAI REG PET 12X500G</t>
  </si>
  <si>
    <t>7891700206921</t>
  </si>
  <si>
    <t>HELLMANNS MAI ALHO NBA SQZ 24X335G</t>
  </si>
  <si>
    <t>7891150096462</t>
  </si>
  <si>
    <t>HELLMANNS MAI BACON ST SQZ 24X335G</t>
  </si>
  <si>
    <t>7891150099371</t>
  </si>
  <si>
    <t>HELLMANNS MAI DOYPACK 12X800G</t>
  </si>
  <si>
    <t>7891150078611</t>
  </si>
  <si>
    <t>HELLMANNS MAI DOYPACK 24X200G</t>
  </si>
  <si>
    <t>7894000030470</t>
  </si>
  <si>
    <t>HELLMANNS MAI LIGHT SQZ 12X335G</t>
  </si>
  <si>
    <t>7891150089501</t>
  </si>
  <si>
    <t>HELLMANNS MAI REG PET 12X500G</t>
  </si>
  <si>
    <t>7894000050034</t>
  </si>
  <si>
    <t>HELLMANNS MAI REG PET 24X250G</t>
  </si>
  <si>
    <t>7894000050027</t>
  </si>
  <si>
    <t>HELLMANNS MAI SQZ 24X335G</t>
  </si>
  <si>
    <t>7891150027800</t>
  </si>
  <si>
    <t>HELLMANNS MAI SUPREME SMALL SQZ 24X230G</t>
  </si>
  <si>
    <t>7891150101548</t>
  </si>
  <si>
    <t>HELLMANNS MAI VERDE SQUEEZE 24X335G</t>
  </si>
  <si>
    <t>7891150079892</t>
  </si>
  <si>
    <t>HELLMANNS MAIONESE NBA 24X335G</t>
  </si>
  <si>
    <t>7891150090835</t>
  </si>
  <si>
    <t>HELLMANNS SUPREME MAI SQUEEZE 24X330G</t>
  </si>
  <si>
    <t>7891150080546</t>
  </si>
  <si>
    <t>MATINAIS</t>
  </si>
  <si>
    <t>MT GRANOLA TRAD C/CASTANHAS 12X800G</t>
  </si>
  <si>
    <t>7891150075443</t>
  </si>
  <si>
    <t>MT GRANOLA TRAD C/CASTANHAS 14X250G</t>
  </si>
  <si>
    <t>7896496972005</t>
  </si>
  <si>
    <t>MOLHOS</t>
  </si>
  <si>
    <t>ARISCO CAT PET 24X370G</t>
  </si>
  <si>
    <t>7891150079212</t>
  </si>
  <si>
    <t>HELLMANNS KET SUPREME SQZ 24X390G</t>
  </si>
  <si>
    <t>7891150097940</t>
  </si>
  <si>
    <t>HELLMANNS KET TRADICIONAL 24X380G</t>
  </si>
  <si>
    <t>7891150027848</t>
  </si>
  <si>
    <t>HELLMANNS MOST SQZ 24X170G</t>
  </si>
  <si>
    <t>7891150027794</t>
  </si>
  <si>
    <t>HELLMANNS MOSTARDA SUPREME 24X250G</t>
  </si>
  <si>
    <t>7891150105706</t>
  </si>
  <si>
    <t>TEMPEROS</t>
  </si>
  <si>
    <t>KNORR M PIMENTA VERM GF 24X150ML</t>
  </si>
  <si>
    <t>7891234000187</t>
  </si>
  <si>
    <t>CUIDADOS BUCAIS</t>
  </si>
  <si>
    <t>CLOSE UP C D LIQUI FRESH 72X100G</t>
  </si>
  <si>
    <t>7891037744509</t>
  </si>
  <si>
    <t>CLOSE UP C D RED HOT 6X12X90G</t>
  </si>
  <si>
    <t>7891037744356</t>
  </si>
  <si>
    <t>CLOSE UP C D TRIP M AMER 72X70G</t>
  </si>
  <si>
    <t>7891150049871</t>
  </si>
  <si>
    <t>CLOSE UP C D TRIPLE MENTA 72X70G</t>
  </si>
  <si>
    <t>7891150049895</t>
  </si>
  <si>
    <t>CLOSE UP ENX BUC ICE C/ALCOOL 12X500ML</t>
  </si>
  <si>
    <t>7891150071810</t>
  </si>
  <si>
    <t>CLOSEUP C D CARVAO ATIVADO 72X85G</t>
  </si>
  <si>
    <t>7891150094109</t>
  </si>
  <si>
    <t>CLOSEUP MVIT E BENEF FRESH 72X85G</t>
  </si>
  <si>
    <t>7891150088344</t>
  </si>
  <si>
    <t>DESODORANTE</t>
  </si>
  <si>
    <t>AXE DEO AER AP MARINE 12X90G/152ML</t>
  </si>
  <si>
    <t>7891150080966</t>
  </si>
  <si>
    <t>AXE DEO AER AP MUSK 12X90G/152ML</t>
  </si>
  <si>
    <t>7891150080973</t>
  </si>
  <si>
    <t>AXE DEO AER AP URBAN 12X89G/152ML</t>
  </si>
  <si>
    <t>7506306233362</t>
  </si>
  <si>
    <t>AXE DEO AER APOLLO 12X150ML</t>
  </si>
  <si>
    <t>7791293025780</t>
  </si>
  <si>
    <t>AXE DEO AER BLACK 12X150ML</t>
  </si>
  <si>
    <t>7791293028781</t>
  </si>
  <si>
    <t>AXE DEO AER DARK TEMPT 12X150ML</t>
  </si>
  <si>
    <t>7791293025797</t>
  </si>
  <si>
    <t>DEO ANTITRANSP DOVE MEN+CARE AEROSOL CUIDADO TOTAL 150M</t>
  </si>
  <si>
    <t>7791293012087</t>
  </si>
  <si>
    <t>DEO ANTITRANSP ROLL ON DOVE MEN+CARE CLEAN COMFORT 50ML</t>
  </si>
  <si>
    <t>78927254</t>
  </si>
  <si>
    <t>DOVE AER AP AMORA 12X150ML</t>
  </si>
  <si>
    <t>7891150063747</t>
  </si>
  <si>
    <t>DOVE AER AP PERA 12X150ML</t>
  </si>
  <si>
    <t>7791293038155</t>
  </si>
  <si>
    <t>DOVE CLINICAL AER AP W 12X91G/150ML</t>
  </si>
  <si>
    <t>7891150073098</t>
  </si>
  <si>
    <t>DOVE DEO AER AP BEAUTY FINISH 12X150ML</t>
  </si>
  <si>
    <t>7791293033235</t>
  </si>
  <si>
    <t>DOVE DEO AER AP GRANADA 12X150ML</t>
  </si>
  <si>
    <t>7791293033266</t>
  </si>
  <si>
    <t>DOVE DEO AER AP INVIS DRY 12X150ML</t>
  </si>
  <si>
    <t>7506306241176</t>
  </si>
  <si>
    <t>DOVE DEO AER AP LAVAND BAUNIL 12X150ML</t>
  </si>
  <si>
    <t>7891150100701</t>
  </si>
  <si>
    <t>DOVE DEO AER AP ORIGINAL 12X150ML</t>
  </si>
  <si>
    <t>7506306241183</t>
  </si>
  <si>
    <t>DOVE DEO AER AP PEPINO 12X150ML</t>
  </si>
  <si>
    <t>7506306241169</t>
  </si>
  <si>
    <t>DOVE DEO AER AP PESSEG LEITE 12X150ML</t>
  </si>
  <si>
    <t>7891150100695</t>
  </si>
  <si>
    <t>DOVE DEO AER AP SENSITIVE 12X150ML</t>
  </si>
  <si>
    <t>7791293033273</t>
  </si>
  <si>
    <t>DOVE DEO CREME PREVINE ESCURECIM 12X50G</t>
  </si>
  <si>
    <t>7891150096783</t>
  </si>
  <si>
    <t>DOVE DEO CREME PREVINE IRRITACAO 12X50G</t>
  </si>
  <si>
    <t>7891150096790</t>
  </si>
  <si>
    <t>DOVE DEO CREME REPARACAO DIARIA 12X50G</t>
  </si>
  <si>
    <t>7891150094741</t>
  </si>
  <si>
    <t>DOVE DEO ROL AP LAVAND BAUNIL 12X50ML</t>
  </si>
  <si>
    <t>78948327</t>
  </si>
  <si>
    <t>DOVE DEO ROL AP PESSEG LEITE 12X50ML</t>
  </si>
  <si>
    <t>78948310</t>
  </si>
  <si>
    <t>DOVE DEO ROL AP ROMA 12X50ML</t>
  </si>
  <si>
    <t>78935068</t>
  </si>
  <si>
    <t>DOVE DEO ROLLON INVISIBLE DRY 12X50ML</t>
  </si>
  <si>
    <t>78924529</t>
  </si>
  <si>
    <t>DOVE DEO ROLLON ORIGINAL 12X50ML EXP</t>
  </si>
  <si>
    <t>78924468</t>
  </si>
  <si>
    <t>DOVE DEO STI AP ORIGINAL 12X45G</t>
  </si>
  <si>
    <t>75062835</t>
  </si>
  <si>
    <t>DOVE DEO STI CUIDADO TOTAL 12X45G</t>
  </si>
  <si>
    <t>75076696</t>
  </si>
  <si>
    <t>DOVE MEN AE AP ENERGY BOOST 12X89G/150ML</t>
  </si>
  <si>
    <t>7506306254459</t>
  </si>
  <si>
    <t>DOVE MEN AER AP INVIS DRY 12X150ML</t>
  </si>
  <si>
    <t>7791293022819</t>
  </si>
  <si>
    <t>DOVE MEN DEO AER AP CUID TOTAL 12X250ML</t>
  </si>
  <si>
    <t>7891150081215</t>
  </si>
  <si>
    <t>DOVE MEN DEO AER AP EXTRA FR12X89G/150ML</t>
  </si>
  <si>
    <t>7791293012063</t>
  </si>
  <si>
    <t>DOVE MEN DEO AER AP INV DRY12X250ML</t>
  </si>
  <si>
    <t>7891150081222</t>
  </si>
  <si>
    <t>DOVE MEN DEO AER AP INVIS FRESH 12X150ML</t>
  </si>
  <si>
    <t>7891150087347</t>
  </si>
  <si>
    <t>DOVE MEN DEO ROL INVISIBLE DRY 12X50ML</t>
  </si>
  <si>
    <t>78933354</t>
  </si>
  <si>
    <t>DOVE MEN DEO ROL S/PERFUME 12X50ML</t>
  </si>
  <si>
    <t>78930780</t>
  </si>
  <si>
    <t>DOVE MEN+CARE AER AP S/PERF 12X89G/150ML</t>
  </si>
  <si>
    <t>7791293014838</t>
  </si>
  <si>
    <t>DOVE W DEO AER AP INV DRY 12X250ML</t>
  </si>
  <si>
    <t>7891150081246</t>
  </si>
  <si>
    <t>DOVE W DEO AER AP ORIGINAL 12X250ML</t>
  </si>
  <si>
    <t>7891150081239</t>
  </si>
  <si>
    <t>REXONA CLIN DEO AER AP CLASSIC 12X91G</t>
  </si>
  <si>
    <t>7506306214989</t>
  </si>
  <si>
    <t>REXONA CLIN DEO AER AP CLEAN 12X91G</t>
  </si>
  <si>
    <t>7506306214972</t>
  </si>
  <si>
    <t>REXONA CLIN DEO AER AP EXTRA DRY 12X91G</t>
  </si>
  <si>
    <t>7891150064300</t>
  </si>
  <si>
    <t>REXONA CLIN DEO AER AP S/PER12X91G/150ML</t>
  </si>
  <si>
    <t>7891150068728</t>
  </si>
  <si>
    <t>REXONA DEO AER AP ACTIVE EMOTION12X150ML</t>
  </si>
  <si>
    <t>7791293032443</t>
  </si>
  <si>
    <t>REXONA DEO AER AP ANT INVIS 12X250ML</t>
  </si>
  <si>
    <t>7891150081284</t>
  </si>
  <si>
    <t>REXONA DEO AER AP BAMBOO 12X150ML</t>
  </si>
  <si>
    <t>7791293032498</t>
  </si>
  <si>
    <t>REXONA DEO AER AP COT DRY 12X250ML</t>
  </si>
  <si>
    <t>7891150081260</t>
  </si>
  <si>
    <t>REXONA DEO AER AP COTTON DRY 12X150ML</t>
  </si>
  <si>
    <t>7791293032467</t>
  </si>
  <si>
    <t>REXONA DEO AER AP ERVA DOCE 12X150ML</t>
  </si>
  <si>
    <t>7891150054653</t>
  </si>
  <si>
    <t>REXONA DEO AER AP F VERM 12X90G/150ML</t>
  </si>
  <si>
    <t>7891150064737</t>
  </si>
  <si>
    <t>REXONA DEO AER AP INVISIBLE 12X250ML</t>
  </si>
  <si>
    <t>7891150081277</t>
  </si>
  <si>
    <t>REXONA DEO AER AP POWD DRY 12X250ML</t>
  </si>
  <si>
    <t>7891150081253</t>
  </si>
  <si>
    <t>REXONA DEO AER AP POWDER DRY 12X150ML</t>
  </si>
  <si>
    <t>7791293032436</t>
  </si>
  <si>
    <t>REXONA DEO AER AP S/PERF 12X150ML</t>
  </si>
  <si>
    <t>7791293032368</t>
  </si>
  <si>
    <t>REXONA DEO ROL AP BAMBOO 12X50ML</t>
  </si>
  <si>
    <t>78924345</t>
  </si>
  <si>
    <t>REXONA DEO ROL COTTON 12X50ML</t>
  </si>
  <si>
    <t>78924352</t>
  </si>
  <si>
    <t>REXONA DEO ROL MEN ANTIBAC INVIS 12X50ML</t>
  </si>
  <si>
    <t>75058852</t>
  </si>
  <si>
    <t>REXONA DEO ROL S/PERF 12X50ML</t>
  </si>
  <si>
    <t>78924383</t>
  </si>
  <si>
    <t>REXONA DEO ROL XTRA COOL 12X50ML</t>
  </si>
  <si>
    <t>78929395</t>
  </si>
  <si>
    <t>REXONA DEO ROLLON ACTIVE EMOTION 12X50ML</t>
  </si>
  <si>
    <t>78926523</t>
  </si>
  <si>
    <t>REXONA DEO ROLLON AP ACTIVE 12X50ML</t>
  </si>
  <si>
    <t>78923409</t>
  </si>
  <si>
    <t>REXONA DEO ROLLON AP INVISIBLE 12X50ML</t>
  </si>
  <si>
    <t>78925472</t>
  </si>
  <si>
    <t>REXONA DEO ROLLON AP POWDER 12X50ML</t>
  </si>
  <si>
    <t>78924338</t>
  </si>
  <si>
    <t>REXONA DEO ROLLON AP V8 12X50ML</t>
  </si>
  <si>
    <t>78923454</t>
  </si>
  <si>
    <t>REXONA FM CLIN CREAM CLEAN 12X58G</t>
  </si>
  <si>
    <t>75076825</t>
  </si>
  <si>
    <t>REXONA FM CLIN CREAM IN FRESH 12X58G</t>
  </si>
  <si>
    <t>75078829</t>
  </si>
  <si>
    <t>REXONA FW CLIN CREAM CLASSIC 12X58G</t>
  </si>
  <si>
    <t>75076818</t>
  </si>
  <si>
    <t>REXONA FW CLIN CREAM EXTRA DRY 12X58G</t>
  </si>
  <si>
    <t>75076870</t>
  </si>
  <si>
    <t>REXONA FW CLIN CREAM REFRESH 12X58G</t>
  </si>
  <si>
    <t>75078836</t>
  </si>
  <si>
    <t>REXONA M CLIN DEO AER AP SPO12X91G/150ML</t>
  </si>
  <si>
    <t>7891150068735</t>
  </si>
  <si>
    <t>REXONA M CLIN DEO AER IN FRESH 12X91G/150ML</t>
  </si>
  <si>
    <t>7891150089983</t>
  </si>
  <si>
    <t>REXONA M CLIN DEO AER INV 12X150ML</t>
  </si>
  <si>
    <t>7891150100510</t>
  </si>
  <si>
    <t>REXONA M DEO ROL AP S/PERFUME 12X50ML</t>
  </si>
  <si>
    <t>78938625</t>
  </si>
  <si>
    <t>REXONA MEN AER AP ACT DRY 12X250ML</t>
  </si>
  <si>
    <t>7891150081307</t>
  </si>
  <si>
    <t>REXONA MEN DEO AER AP ACTIVE 12X150ML</t>
  </si>
  <si>
    <t>7791293022598</t>
  </si>
  <si>
    <t>REXONA MEN DEO AER AP ANT I 12X250ML</t>
  </si>
  <si>
    <t>7891150081321</t>
  </si>
  <si>
    <t>REXONA MEN DEO AER AP ANTIB INV 12X150ML</t>
  </si>
  <si>
    <t>7506306244184</t>
  </si>
  <si>
    <t>REXONA MEN DEO AER AP ANTIB12X150ML</t>
  </si>
  <si>
    <t>7791293025537</t>
  </si>
  <si>
    <t>REXONA MEN DEO AER AP IMPACTO 12X150ML</t>
  </si>
  <si>
    <t>7891150054646</t>
  </si>
  <si>
    <t>REXONA MEN DEO AER AP INVIS 12X250ML</t>
  </si>
  <si>
    <t>7891150081291</t>
  </si>
  <si>
    <t>REXONA MEN DEO AER AP INVISIBLE 12X150ML</t>
  </si>
  <si>
    <t>7791293022635</t>
  </si>
  <si>
    <t>REXONA MEN DEO AER AP S/PERF12X150ML</t>
  </si>
  <si>
    <t>7891150055872</t>
  </si>
  <si>
    <t>REXONA MEN DEO AER AP V8 12X150ML</t>
  </si>
  <si>
    <t>7791293022567</t>
  </si>
  <si>
    <t>REXONA MEN DEO AER AP V8 12X250ML</t>
  </si>
  <si>
    <t>7891150081314</t>
  </si>
  <si>
    <t>REXONA MEN DEO AER AP XTRACOOL 12X150ML</t>
  </si>
  <si>
    <t>7791293022581</t>
  </si>
  <si>
    <t>REXONA W CLIN DEO AER INV 12X150ML</t>
  </si>
  <si>
    <t>7891150100503</t>
  </si>
  <si>
    <t>REXONA W CLIN DEO AER REFRE 12X91G/150ML</t>
  </si>
  <si>
    <t>7891150089952</t>
  </si>
  <si>
    <t>REXONA W DEO AER AP ANTIB INVIS 12X150ML</t>
  </si>
  <si>
    <t>7506306244177</t>
  </si>
  <si>
    <t>REXONA W DEO AER AP INVISIBLE 12X150ML</t>
  </si>
  <si>
    <t>7791293032481</t>
  </si>
  <si>
    <t>REXONA W DEO ROL ANTIBAC INV12X50ML</t>
  </si>
  <si>
    <t>75058845</t>
  </si>
  <si>
    <t>REXONA W DEO ROL INVISIBLE 12X50ML</t>
  </si>
  <si>
    <t>78944831</t>
  </si>
  <si>
    <t>SABONETE BARRA</t>
  </si>
  <si>
    <t>DOVE ERVA DOCE 8X6X90G (MPK)</t>
  </si>
  <si>
    <t>7891150088474</t>
  </si>
  <si>
    <t>DOVE SAB BRANCO 48X90G</t>
  </si>
  <si>
    <t>7898422746759</t>
  </si>
  <si>
    <t>DOVE SAB KAR E BAUNILHA 48X90G</t>
  </si>
  <si>
    <t>7891150019560</t>
  </si>
  <si>
    <t>DOVE SAB KARITE 8X6X90G</t>
  </si>
  <si>
    <t>7891150044654</t>
  </si>
  <si>
    <t>DOVE SAB ORIGINAL 8X6X90G</t>
  </si>
  <si>
    <t>7891150044616</t>
  </si>
  <si>
    <t>DOVE SAB PELE SENSIVEL 48X90GR</t>
  </si>
  <si>
    <t>7891150095618</t>
  </si>
  <si>
    <t>DOVE SAB PELE SENSIVEL 8X6X90GR</t>
  </si>
  <si>
    <t>7891150095632</t>
  </si>
  <si>
    <t>DOVE SAB CUIDADO ANTIBAC 8X6X90G</t>
  </si>
  <si>
    <t>7891150076051</t>
  </si>
  <si>
    <t>LUX SAB BUQUE DE JASMIM 108X85G</t>
  </si>
  <si>
    <t>7891150059849</t>
  </si>
  <si>
    <t>LUX SAB BUQUE DE JASMIM 18X6X85G</t>
  </si>
  <si>
    <t>7891150097681</t>
  </si>
  <si>
    <t>LUX SAB LAVANDA 108X85G</t>
  </si>
  <si>
    <t>7891150059887</t>
  </si>
  <si>
    <t>LUX SAB ORQUIDEA NEGRA 108X85G</t>
  </si>
  <si>
    <t>7891150059900</t>
  </si>
  <si>
    <t>LUX SAB ORQUIDEA NEGRA 18X6X85G</t>
  </si>
  <si>
    <t>7891150101807</t>
  </si>
  <si>
    <t>LUX SAB ROSAS FRANCESAS 108X85G</t>
  </si>
  <si>
    <t>7891150059870</t>
  </si>
  <si>
    <t>LUX SAB ROSAS FRANCESAS 18X6X85G</t>
  </si>
  <si>
    <t>7891150097674</t>
  </si>
  <si>
    <t>SAB DOVE BARRA ERVA-DOCE E CAMOMILA 90G</t>
  </si>
  <si>
    <t>7891150088238</t>
  </si>
  <si>
    <t>SABONETES LIQUIDOS</t>
  </si>
  <si>
    <t>DOVE BODY SCRUB POM SEEDS 6X280G</t>
  </si>
  <si>
    <t>7506306255661</t>
  </si>
  <si>
    <t>DOVE OLEO DE BANHO 12X240ML</t>
  </si>
  <si>
    <t>7891150098442</t>
  </si>
  <si>
    <t>DOVE SAB LIQ CUIDADO RECONFOR 12X250ML</t>
  </si>
  <si>
    <t>7891150029293</t>
  </si>
  <si>
    <t>DOVE SAB LIQ NUTR PROF RFL 12X200ML NE</t>
  </si>
  <si>
    <t>7891150053229</t>
  </si>
  <si>
    <t>DOVE SAB LIQ NUTRICAO PROFUNDA 12X250ML</t>
  </si>
  <si>
    <t>7891150063105</t>
  </si>
  <si>
    <t>DOVE SAB LIQ PELE SENS 12X250ML</t>
  </si>
  <si>
    <t>7891150095694</t>
  </si>
  <si>
    <t>DOVE SAB LIQ PELE SENS RFL 12X200ML</t>
  </si>
  <si>
    <t>7891150095670</t>
  </si>
  <si>
    <t>LUX SAB LIQ BUQUE DE JASMIM 12X200ML</t>
  </si>
  <si>
    <t>7891150060241</t>
  </si>
  <si>
    <t>LUX SAB LIQ BUQUE DE JASMIM 8X650ML</t>
  </si>
  <si>
    <t>7891150095762</t>
  </si>
  <si>
    <t>LUX SAB LIQ GARD E OLEO DE AMEN 12X250ML</t>
  </si>
  <si>
    <t>7891150095311</t>
  </si>
  <si>
    <t>LUX SAB LIQ ORQUIDEA NEGRA 12X200ML</t>
  </si>
  <si>
    <t>7891150060210</t>
  </si>
  <si>
    <t>LUX SAB LIQ ORQUIDEA NEGRA 12X250ML</t>
  </si>
  <si>
    <t>7891150060142</t>
  </si>
  <si>
    <t>LUX SAB LIQ ORQUIDEA NEGRA 8X650ML</t>
  </si>
  <si>
    <t>7891150101814</t>
  </si>
  <si>
    <t>LUX SAB LIQ ROSAS FRANCESAS 12X200ML</t>
  </si>
  <si>
    <t>7891150060234</t>
  </si>
  <si>
    <t>LUX SAB LIQ ROSAS FRANCESAS 12X250ML</t>
  </si>
  <si>
    <t>7891150060197</t>
  </si>
  <si>
    <t>LUX SAB LIQ ROSAS FRANCESAS 8X650ML</t>
  </si>
  <si>
    <t>7891150095779</t>
  </si>
  <si>
    <t>CABELOS</t>
  </si>
  <si>
    <t>CLEAR MEN SH 2EM1 ANTIC LIMP DIA12X200ML</t>
  </si>
  <si>
    <t>7898422746216</t>
  </si>
  <si>
    <t>CLEAR MEN SH ANTIC ICE COOL MTL 12X200ML</t>
  </si>
  <si>
    <t>7891150007406</t>
  </si>
  <si>
    <t xml:space="preserve"> 7891150060975</t>
  </si>
  <si>
    <t>CLEAR MEN SH ANTIC ICE COOL MTL 12X400ML</t>
  </si>
  <si>
    <t>7891150001183</t>
  </si>
  <si>
    <t>CLEAR MEN SH ANTIC SPORTS L PROF12X200ML</t>
  </si>
  <si>
    <t>7891150019508</t>
  </si>
  <si>
    <t>CLEAR MEN SH ANTIC SPORTS L PROF12X400ML</t>
  </si>
  <si>
    <t>7891150019416</t>
  </si>
  <si>
    <t>CLEAR MEN SH HID CAMPEA 12X200ML</t>
  </si>
  <si>
    <t>7891150099289</t>
  </si>
  <si>
    <t>CLEAR MEN SH HID CAMPEA 12X400ML</t>
  </si>
  <si>
    <t>7891150099272</t>
  </si>
  <si>
    <t xml:space="preserve"> 7891150060968</t>
  </si>
  <si>
    <t>CLEAR SH 2EM1 LIMP DIARIA 400ML</t>
  </si>
  <si>
    <t>7891150014138</t>
  </si>
  <si>
    <t>DOVE CO BOND 12X250ML</t>
  </si>
  <si>
    <t>7891150095595</t>
  </si>
  <si>
    <t xml:space="preserve"> 7891150097643</t>
  </si>
  <si>
    <t>DOVE CO HIDRAT+HILAURON VIT 12X370ML</t>
  </si>
  <si>
    <t>7891150102385</t>
  </si>
  <si>
    <t xml:space="preserve"> 7891150095533</t>
  </si>
  <si>
    <t>DOVE CO NUTRI+TRI OLEOS 12X370ML</t>
  </si>
  <si>
    <t>7891150102378</t>
  </si>
  <si>
    <t xml:space="preserve"> 7891150093256</t>
  </si>
  <si>
    <t>DOVE CO RECONST+AMINOACIDO 12X370ML</t>
  </si>
  <si>
    <t>7891150102705</t>
  </si>
  <si>
    <t xml:space="preserve"> 7891150093263</t>
  </si>
  <si>
    <t>DOVE CO UMECT+COCO ANTIOXI 12X370ML</t>
  </si>
  <si>
    <t>7891150102699</t>
  </si>
  <si>
    <t xml:space="preserve"> 7891150103788</t>
  </si>
  <si>
    <t>DOVE CO UV REPAIR 12X250ML</t>
  </si>
  <si>
    <t>7891150102750</t>
  </si>
  <si>
    <t xml:space="preserve"> 7891150103818</t>
  </si>
  <si>
    <t>DOVE CR LEAVE-IN BOND 6X50ML</t>
  </si>
  <si>
    <t>7891150095601</t>
  </si>
  <si>
    <t>DOVE MASC BOND 6X250G</t>
  </si>
  <si>
    <t>7891150095557</t>
  </si>
  <si>
    <t>DOVE MASC RITUAL DE REPARACAO 6X500G</t>
  </si>
  <si>
    <t>7891150080744</t>
  </si>
  <si>
    <t>DOVE MASC UV REPAIR 6X250GR</t>
  </si>
  <si>
    <t>7891150102774</t>
  </si>
  <si>
    <t>DOVE OLEO BOND 6X110ML</t>
  </si>
  <si>
    <t>7891150095540</t>
  </si>
  <si>
    <t>DOVE OLEO UV REPAIR 6X110ML</t>
  </si>
  <si>
    <t>7891150102798</t>
  </si>
  <si>
    <t>DOVE SH BOND 12X350ML</t>
  </si>
  <si>
    <t>7891150095588</t>
  </si>
  <si>
    <t>DOVE SH HIDRAT+HILAURON VIT 12X370ML</t>
  </si>
  <si>
    <t>7891150102545</t>
  </si>
  <si>
    <t>DOVE SH NUTRI+TRI-OLEOS 12X370ML</t>
  </si>
  <si>
    <t>7891150102613</t>
  </si>
  <si>
    <t>DOVE SH RECONST+AMINOACIDO 12X370ML</t>
  </si>
  <si>
    <t>7891150102637</t>
  </si>
  <si>
    <t>DOVE SH UMECT+COCO ANTIOXI 12X370ML</t>
  </si>
  <si>
    <t>7891150102620</t>
  </si>
  <si>
    <t>DOVE SH UV REPAIR 12X370ML</t>
  </si>
  <si>
    <t>7891150102729</t>
  </si>
  <si>
    <t>DOVE TRAT 2EM1 HIDRATACAO 6X500G</t>
  </si>
  <si>
    <t>7891150096738</t>
  </si>
  <si>
    <t>DOVE TRAT 2EM1 NUTRICAO 6X500G</t>
  </si>
  <si>
    <t>7891150096752</t>
  </si>
  <si>
    <t>DOVE TRAT 2EM1 RECONSTRUCAO 6X500G</t>
  </si>
  <si>
    <t>7891150096745</t>
  </si>
  <si>
    <t xml:space="preserve"> 7891150105638</t>
  </si>
  <si>
    <t>SEDA BOOM CR PENT DEF FLEXIVEL 6X1KG</t>
  </si>
  <si>
    <t>7891150095922</t>
  </si>
  <si>
    <t>SEDA BOOM CR PENT DEF INTENSA 6X1KG</t>
  </si>
  <si>
    <t>7891150095908</t>
  </si>
  <si>
    <t>SEDA CO CACHOS DEFINIDOS 12X325ML</t>
  </si>
  <si>
    <t>7891150037465</t>
  </si>
  <si>
    <t xml:space="preserve"> 7891150097353</t>
  </si>
  <si>
    <t>SEDA CO COLAGENO E VIT C 12X250ML</t>
  </si>
  <si>
    <t>7891150101715</t>
  </si>
  <si>
    <t>SEDA CO LISO PERFEITO 12X325ML</t>
  </si>
  <si>
    <t>7891150037328</t>
  </si>
  <si>
    <t xml:space="preserve"> 7891150097384</t>
  </si>
  <si>
    <t>SEDA CO LUMINOSO UV 12X300ML</t>
  </si>
  <si>
    <t>7891150099838</t>
  </si>
  <si>
    <t xml:space="preserve"> 7891150099982</t>
  </si>
  <si>
    <t>SEDA CO SOS CERAMIDAS 12X325ML NE</t>
  </si>
  <si>
    <t>7891150037250</t>
  </si>
  <si>
    <t xml:space="preserve"> 7891150097377</t>
  </si>
  <si>
    <t>SEDA CO TOQUE DE SEDA 12X250ML</t>
  </si>
  <si>
    <t>7891150101586</t>
  </si>
  <si>
    <t xml:space="preserve"> 7891150101630</t>
  </si>
  <si>
    <t>SEDA CR PENT BOOM DEF SUP HID 6X1KG</t>
  </si>
  <si>
    <t>7891150091788</t>
  </si>
  <si>
    <t>SEDA CR PENT BRILHO CERAMIDAS12X300ML NE</t>
  </si>
  <si>
    <t>7891037144705</t>
  </si>
  <si>
    <t>SEDA CR PENT CACHOS DEFINIDOS 12X300ML</t>
  </si>
  <si>
    <t>7891037000322</t>
  </si>
  <si>
    <t>SEDA CR PENT COLAGENO E VIT C 12X300ML</t>
  </si>
  <si>
    <t>7891150080102</t>
  </si>
  <si>
    <t>SEDA CR PENT LISO PERFEITO 12X300ML NE</t>
  </si>
  <si>
    <t>7891037010048</t>
  </si>
  <si>
    <t>SEDA CR PENT LUMINOSO UV 12X300ML</t>
  </si>
  <si>
    <t>7891150099852</t>
  </si>
  <si>
    <t>SEDA CR PENT TOQUE DE SEDA 12X300ML</t>
  </si>
  <si>
    <t>7891150101593</t>
  </si>
  <si>
    <t>SEDA MASC TRAT CACHOS DEFINIDOS 6X300G</t>
  </si>
  <si>
    <t>7891150101678</t>
  </si>
  <si>
    <t>SEDA MASC TRAT CERAMIDAS 6X300G</t>
  </si>
  <si>
    <t>7891150101661</t>
  </si>
  <si>
    <t>SEDA MASC TRAT COLAGENO VIT C 6X300G NE</t>
  </si>
  <si>
    <t>7891150080119</t>
  </si>
  <si>
    <t>SEDA MASC TRAT LISO PERFEITO 6X300G</t>
  </si>
  <si>
    <t>7891150101685</t>
  </si>
  <si>
    <t>SEDA MASC TRAT LUMINOSO UV 6X300G</t>
  </si>
  <si>
    <t>7891150099883</t>
  </si>
  <si>
    <t>SEDA MASC TRAT TOQUE DE SEDA 6X300ML</t>
  </si>
  <si>
    <t>7891150101579</t>
  </si>
  <si>
    <t>SEDA SERUM TOQUE DE SEDA 6X100ML</t>
  </si>
  <si>
    <t>7891150101760</t>
  </si>
  <si>
    <t>SEDA SERUM+OLEO TOQUE DE SEDA 12X60ML</t>
  </si>
  <si>
    <t>7891150101753</t>
  </si>
  <si>
    <t>SEDA SH CACHOS DEFINIDOS 12X325ML</t>
  </si>
  <si>
    <t>7891150037595</t>
  </si>
  <si>
    <t>SEDA SH CERAMIDAS 12X325ML NE</t>
  </si>
  <si>
    <t>7891150037397</t>
  </si>
  <si>
    <t>SEDA SH COLAGENO E VIT C12X300ML</t>
  </si>
  <si>
    <t>7891150101692</t>
  </si>
  <si>
    <t>SEDA SH LISO PERFEITO 12X325ML NE</t>
  </si>
  <si>
    <t>7891150037519</t>
  </si>
  <si>
    <t>SEDA SH LUMINOSO UV 12X300ML</t>
  </si>
  <si>
    <t>7891150099845</t>
  </si>
  <si>
    <t>SEDA SH TOQUE DE SEDA 12X300ML</t>
  </si>
  <si>
    <t>7891150101616</t>
  </si>
  <si>
    <t>TRESEMME CO BLIND ANTIUMIDADE 12X650ML</t>
  </si>
  <si>
    <t>7891150100367</t>
  </si>
  <si>
    <t xml:space="preserve"> 7891150094505</t>
  </si>
  <si>
    <t>TRESEMME CO BRILHO LAMELAR 12X650ML</t>
  </si>
  <si>
    <t>7891150091221</t>
  </si>
  <si>
    <t xml:space="preserve"> 7891150094529</t>
  </si>
  <si>
    <t>TRESEMME CO DETOX CAPILAR 12X650ML</t>
  </si>
  <si>
    <t>7891150091146</t>
  </si>
  <si>
    <t>TRESEMME CO HIDRATACAO PROFUNDA 12X650ML</t>
  </si>
  <si>
    <t>7891150091160</t>
  </si>
  <si>
    <t>TRESEMME CO RECON E FORCA 12X650ML</t>
  </si>
  <si>
    <t>7891150091238</t>
  </si>
  <si>
    <t>TRESEMME CR PENT HIDRATA 12X200ML</t>
  </si>
  <si>
    <t>7891150058965</t>
  </si>
  <si>
    <t>TRESEMME CR PENT REC FORC LEAV 12X200ML</t>
  </si>
  <si>
    <t>7891150091153</t>
  </si>
  <si>
    <t>TRESEMME MASC TRAT BLINDANTIUMID 6X400G</t>
  </si>
  <si>
    <t>7891150100350</t>
  </si>
  <si>
    <t>TRESEMME MASC TRAT HIDRAT PROF 6X400G NE</t>
  </si>
  <si>
    <t>7891150023338</t>
  </si>
  <si>
    <t>TRESEMME MASC TRAT LAMELAR 6X400G NE</t>
  </si>
  <si>
    <t>7891150091245</t>
  </si>
  <si>
    <t>TRESEMME MASC TRAT RECON FORCA 6X400G NE</t>
  </si>
  <si>
    <t>7891150023321</t>
  </si>
  <si>
    <t>TRESEMME OLEO FINALIZA B LAMELAR 12X60ML</t>
  </si>
  <si>
    <t>7891150094406</t>
  </si>
  <si>
    <t>TRESEMME SH BLIND ANTIUMIDADE 12X650ML</t>
  </si>
  <si>
    <t>7891150100312</t>
  </si>
  <si>
    <t>TRESEMME SH BRILHO LAMELAR 12X650ML</t>
  </si>
  <si>
    <t>7891150091207</t>
  </si>
  <si>
    <t>TRESEMME SH DETOX CAPILAR 12X650ML</t>
  </si>
  <si>
    <t>7891150091191</t>
  </si>
  <si>
    <t>TRESEMME SH HIDRATACAO PROFUNDA 12X650ML</t>
  </si>
  <si>
    <t>7891150091184</t>
  </si>
  <si>
    <t>TRESEMME SH RECON E FORCA 12X650ML</t>
  </si>
  <si>
    <t>7891150091122</t>
  </si>
  <si>
    <t>TRESEMME SPRAY IMPERMEABILIZA 12X180ML</t>
  </si>
  <si>
    <t>7891150100107</t>
  </si>
  <si>
    <t>SKIN CARE</t>
  </si>
  <si>
    <t>DOVE SER CORP HIALURONICO 12X245ML</t>
  </si>
  <si>
    <t>7891150105683</t>
  </si>
  <si>
    <t>DOVE SER CORP NIACINAMIDA 12X245ML</t>
  </si>
  <si>
    <t>7891150105676</t>
  </si>
  <si>
    <t>DOVE SER CORP PRO-RETINOL 12X245ML</t>
  </si>
  <si>
    <t>7891150105669</t>
  </si>
  <si>
    <t>Lista de Sortimentos Numérica (PPAs que são consideradas na conta PPA/Loja) - Abril 2026</t>
  </si>
  <si>
    <t>PPA</t>
  </si>
  <si>
    <t>Qtde de Lojas da Numérica A e B</t>
  </si>
  <si>
    <t>Qtde de Lojas da Numérica A e B com compra do PPA no bimestre móvel</t>
  </si>
  <si>
    <t>% das Lojas da Numérica A e B com compra do PPA no bimestre móvel</t>
  </si>
  <si>
    <t>AMAC</t>
  </si>
  <si>
    <t>AMACIANTE COMFORT CONC DOYPACK 900ML</t>
  </si>
  <si>
    <t>AMACIANTE COMFORT CONC PREMIUM 1L</t>
  </si>
  <si>
    <t>AMACIANTE COMFORT CONC PREMIUM 500ML</t>
  </si>
  <si>
    <t>AMACIANTE COMFORT CONCENTRADO 1L</t>
  </si>
  <si>
    <t>AMACIANTE COMFORT CONCENTRADO 500ML</t>
  </si>
  <si>
    <t>AMACIANTE FOFO CONCENTRADO 500ML</t>
  </si>
  <si>
    <t>AMACIANTE FOFO CONCENTRADO 900ML (NOVO)</t>
  </si>
  <si>
    <t>CRISTAIS DE PERFUME COMFORT 275G</t>
  </si>
  <si>
    <t>DET LIQ</t>
  </si>
  <si>
    <t>DET LIQ BRILHANTE 900ML</t>
  </si>
  <si>
    <t>DET LIQ OMO 1,4L</t>
  </si>
  <si>
    <t>DET LIQ OMO 1,8L</t>
  </si>
  <si>
    <t>DET LIQ OMO 3L</t>
  </si>
  <si>
    <t>DET LIQ OMO 750ML</t>
  </si>
  <si>
    <t>DET LIQ OMO 900ML</t>
  </si>
  <si>
    <t>DET LIQ SURF 3L</t>
  </si>
  <si>
    <t>DET LIQ SURF 900ML</t>
  </si>
  <si>
    <t>DET PO</t>
  </si>
  <si>
    <t>DET PO BRILHANTE 1,6KG - DETERGENTE</t>
  </si>
  <si>
    <t>DET PO BRILHANTE 1,6KG - DT CART</t>
  </si>
  <si>
    <t>DET PO BRILHANTE 2,2KG - DETERGENTE</t>
  </si>
  <si>
    <t>DET PO OMO 1,6KG</t>
  </si>
  <si>
    <t>DET PO OMO 1,6KG - DETERGENTE CART</t>
  </si>
  <si>
    <t>DET PO OMO 700G - DETERGENTE CART</t>
  </si>
  <si>
    <t>DET PO SURF 1,6KG</t>
  </si>
  <si>
    <t>LIMP</t>
  </si>
  <si>
    <t>LIMPADOR CIF BANHEIRO EXTERMINA LIMO DP</t>
  </si>
  <si>
    <t>LIMPADOR CIF BANHEIRO EXTERMINA LIMO GTL</t>
  </si>
  <si>
    <t>LIMPADOR CIF DERRETE GORDURA DP</t>
  </si>
  <si>
    <t>LIMPADOR CIF DERRETE GORDURA GTL</t>
  </si>
  <si>
    <t>LIMPADOR CIF SAPONACEO 250ML</t>
  </si>
  <si>
    <t>LIMPADOR CIF SAPONACEO 450ML</t>
  </si>
  <si>
    <t>LIMPADOR CIF VIDROS DP</t>
  </si>
  <si>
    <t>LIMPADOR VIM CLORO ATIVADO 700ML</t>
  </si>
  <si>
    <t>AMIDO</t>
  </si>
  <si>
    <t>MAIZENA TRADICIONAL 200G - HT</t>
  </si>
  <si>
    <t>CALDO</t>
  </si>
  <si>
    <t>CALDO KNORR 3L - HT</t>
  </si>
  <si>
    <t>KETCHUP</t>
  </si>
  <si>
    <t>KETCHUP HELLMANNS 380G - HT</t>
  </si>
  <si>
    <t>KETCHUP HELLMANNS SUPREME 390G - HT</t>
  </si>
  <si>
    <t>MAYO HELLMANNS PET 500G - HT</t>
  </si>
  <si>
    <t>MAYO HELLMANNS REGULAR SQUEEZE - HT</t>
  </si>
  <si>
    <t>MAYO HELLMANNS SUPREME SMALL SQZ 230G</t>
  </si>
  <si>
    <t>MOSTARDA</t>
  </si>
  <si>
    <t>MOSTARDA HELLMANNS SQUEEZE - HT</t>
  </si>
  <si>
    <t>MOSTARDA HELLMANNS SUPREME</t>
  </si>
  <si>
    <t>PIMENTA</t>
  </si>
  <si>
    <t>TEMPERO KNORR PIMENTA - HT</t>
  </si>
  <si>
    <t>ORAL CLOSE UP CARVAO ATIVADO</t>
  </si>
  <si>
    <t>ORAL CLOSE UP ENXAGUANTE BUCAL 250ML</t>
  </si>
  <si>
    <t>ORAL CLOSE UP GEL RED HOT</t>
  </si>
  <si>
    <t>ORAL CLOSE UP MULTIVITAMINAS</t>
  </si>
  <si>
    <t>ORAL CLOSE UP TRIPLE REGULAR</t>
  </si>
  <si>
    <t>DEO AXE AERO REGULAR AP</t>
  </si>
  <si>
    <t>DEO AXE AERO REGULAR BS - IMP</t>
  </si>
  <si>
    <t>DEO DOVE AERO REGULAR</t>
  </si>
  <si>
    <t>DEO DOVE CREME REGULAR</t>
  </si>
  <si>
    <t>DEO DOVE MEN AERO REGULAR</t>
  </si>
  <si>
    <t>DEO DOVE ROLL ON REGULAR</t>
  </si>
  <si>
    <t>DEO REXONA AERO CLINICAL</t>
  </si>
  <si>
    <t>DEO REXONA AERO REGULAR</t>
  </si>
  <si>
    <t>DEO REXONA CLINICAL SOFT SOLID</t>
  </si>
  <si>
    <t>DEO REXONA ROLL ON REGULAR</t>
  </si>
  <si>
    <t>DEO SUAVE AERO REGULAR - GOLIAS</t>
  </si>
  <si>
    <t>INFANTIL</t>
  </si>
  <si>
    <t>SAB LIQ DOVE BABY 200ML</t>
  </si>
  <si>
    <t>SAB LIQ DOVE BABY REFIL 180ML</t>
  </si>
  <si>
    <t>SAB BARRA DOVE 90G</t>
  </si>
  <si>
    <t>SAB BARRA LUX 85G</t>
  </si>
  <si>
    <t>SAB BARRA REXONA 84G</t>
  </si>
  <si>
    <t>SABONETE LIQUIDO</t>
  </si>
  <si>
    <t>SAB LIQ DOVE 250ML</t>
  </si>
  <si>
    <t>SAB LIQ LUX 250ML (NOVO)</t>
  </si>
  <si>
    <t>SAB LIQ LUX REFIL (NOVO)</t>
  </si>
  <si>
    <t>HAIR</t>
  </si>
  <si>
    <t>HAIR CO DOVE TAM MED</t>
  </si>
  <si>
    <t>HAIR CO SEDA REGULAR</t>
  </si>
  <si>
    <t>HAIR CRPE SEDA BOOM 1KG</t>
  </si>
  <si>
    <t>HAIR CRPE SEDA REGULAR</t>
  </si>
  <si>
    <t>HAIR CRTR DOVE 500G</t>
  </si>
  <si>
    <t>HAIR CRTR SEDA BOOM 300ML</t>
  </si>
  <si>
    <t>HAIR OLEO FINAL DOVE 110ML</t>
  </si>
  <si>
    <t>HAIR OLEO SEDA 60ML</t>
  </si>
  <si>
    <t>HAIR SERUM DOVE 50ML</t>
  </si>
  <si>
    <t>HAIR SH CLEAR TAM GRANDES</t>
  </si>
  <si>
    <t>HAIR SH DOVE TAM MED</t>
  </si>
  <si>
    <t>HAIR SH SEDA REGULAR</t>
  </si>
  <si>
    <t>EANS que são considerados para os PPA do Sortimento numérica</t>
  </si>
  <si>
    <t>Descrição</t>
  </si>
  <si>
    <t xml:space="preserve">EAN Regular </t>
  </si>
  <si>
    <t>COMFORT AMAC INTENSE ORIGINAL DP12X900ML</t>
  </si>
  <si>
    <t>COMFORT AMAC INT CUID DA NAT DP 12X900ML</t>
  </si>
  <si>
    <t>7891150064874</t>
  </si>
  <si>
    <t>COMFORT AMAC EXPL FL DP ED ESPC 12X810ML</t>
  </si>
  <si>
    <t>7891150087507</t>
  </si>
  <si>
    <t>COMFORT AMAC PERFUMES SECRETOS 36 12X1L</t>
  </si>
  <si>
    <t>7891150091948</t>
  </si>
  <si>
    <t>COMFORT AMAC PERFUMES SECRETOS 48 12X1L</t>
  </si>
  <si>
    <t>COMFORT CONC OL ESSENC ROMANCE</t>
  </si>
  <si>
    <t>7891150042124</t>
  </si>
  <si>
    <t>COMFORT CONC PER ESSENC SEXY</t>
  </si>
  <si>
    <t>7891150042148</t>
  </si>
  <si>
    <t xml:space="preserve"> COMFORT CONC CHARM 12X500ML</t>
  </si>
  <si>
    <t>7891150045477</t>
  </si>
  <si>
    <t>COMFORT AMAC EXPERT CARE COL PE 12X500ML</t>
  </si>
  <si>
    <t>7891150065253</t>
  </si>
  <si>
    <t>COMFORT CONC OL ESSENC HARMONY</t>
  </si>
  <si>
    <t>7891150025295</t>
  </si>
  <si>
    <t>COMFORT AMAC INTENSE ROMANCE 12X500ML</t>
  </si>
  <si>
    <t>7891150025271</t>
  </si>
  <si>
    <t>COMFORT AMAC PERF SECRETOS 36 12X500ML</t>
  </si>
  <si>
    <t>7891150091979</t>
  </si>
  <si>
    <t>COMFORT AMAC PERF SECRETOS 48 12X500ML</t>
  </si>
  <si>
    <t>7891150091986</t>
  </si>
  <si>
    <t>COMFORT AMAC EXPL FLORAL E ESPC 12X900ML</t>
  </si>
  <si>
    <t>7891150087491</t>
  </si>
  <si>
    <t>COMFORT AMAC INTENSE ORIGINAL 12X1L</t>
  </si>
  <si>
    <t>COMFORT AMAC INTENSE + SPORTS 12X1L</t>
  </si>
  <si>
    <t>7891150063471</t>
  </si>
  <si>
    <t>COMFORT AMAC INT CUID DA NATUREZA 12X1L</t>
  </si>
  <si>
    <t>7891150063938</t>
  </si>
  <si>
    <t>COMFORT AMAC INTENSE PURO RELAX 12X1L</t>
  </si>
  <si>
    <t>7891150054615</t>
  </si>
  <si>
    <t>COMFORT AMAC +PURO CUID 1L+COMFORT 1L</t>
  </si>
  <si>
    <t>7891150053700</t>
  </si>
  <si>
    <t>COMFORT AMAC INT ORIG 12X1L GTS 100ML</t>
  </si>
  <si>
    <t>7891150054486</t>
  </si>
  <si>
    <t>COMFORT AMAC INT P C 12X1L LV1L PG0.9L</t>
  </si>
  <si>
    <t>7891150055339</t>
  </si>
  <si>
    <t>COMFORT AMAC INTENSE GLAMOUR 12X1L</t>
  </si>
  <si>
    <t>COMFORT AMAC INT PURO CUIDADO 12X1L</t>
  </si>
  <si>
    <t>COMFORT AMAC INTENSE ENERGY 12X1L</t>
  </si>
  <si>
    <t>COMFORT AMAC INT OR12X500ML LV500PG400</t>
  </si>
  <si>
    <t>7891150048492</t>
  </si>
  <si>
    <t>COMFORT AMAC I P C12X500ML LV500PG400</t>
  </si>
  <si>
    <t>7891150048485</t>
  </si>
  <si>
    <t>COMFORT AMAC INT GLAMOUR 12X500ML</t>
  </si>
  <si>
    <t>COMFORT CONC 500ML+COMFORT ENE 500ML</t>
  </si>
  <si>
    <t>7891150041110</t>
  </si>
  <si>
    <t>COMFORT AMAC INTENSE PURO RELAX 12X500ML</t>
  </si>
  <si>
    <t>7891150054608</t>
  </si>
  <si>
    <t>COMFORT AMAC INTENSE +SPORTS 12X500ML</t>
  </si>
  <si>
    <t>7891150064867</t>
  </si>
  <si>
    <t>COMFORT AMAC INTENSE ORIGINAL 12X500ML</t>
  </si>
  <si>
    <t>COMFORT AMAC INTENSE ENERGY 12X500ML</t>
  </si>
  <si>
    <t>7891150025288</t>
  </si>
  <si>
    <t>COMFORT AMAC INT LIR BCO BER 12X500ML</t>
  </si>
  <si>
    <t>7891150028883</t>
  </si>
  <si>
    <t>COMFORT AMAC CONC ELLEGANCE</t>
  </si>
  <si>
    <t>7891150000988</t>
  </si>
  <si>
    <t xml:space="preserve"> COMFORT CONC ORQ MOR SILVESTRE 12X500ML</t>
  </si>
  <si>
    <t>7891150027558</t>
  </si>
  <si>
    <t>COMFORT AMAC CONC ALOE VERA</t>
  </si>
  <si>
    <t>7891150003255</t>
  </si>
  <si>
    <t>COMFORT AMAC CONC CRIA LAV CAS</t>
  </si>
  <si>
    <t>7891150028876</t>
  </si>
  <si>
    <t>AMACIANTE COMFORT CONCENTRADO</t>
  </si>
  <si>
    <t>7891150030916</t>
  </si>
  <si>
    <t>AMAC COMFORT 12X500ML BRIDGERTON</t>
  </si>
  <si>
    <t>COMFORT AMAC LAVANDA ED ESP 12X500ML</t>
  </si>
  <si>
    <t>7891150090460</t>
  </si>
  <si>
    <t>COMFORT AMAC E C F P12X500ML LV500 PG400</t>
  </si>
  <si>
    <t>7891150079991</t>
  </si>
  <si>
    <t>COMFORT AMAC EXPERT CARE F PR DP12X450ML</t>
  </si>
  <si>
    <t>7891150066373</t>
  </si>
  <si>
    <t>FOFO AMAC CONC VERM SENSACAO 12X500ML</t>
  </si>
  <si>
    <t>7891150092723</t>
  </si>
  <si>
    <t>FOFO AMAC CONC LARAN VITORIOSO 12X500ML</t>
  </si>
  <si>
    <t>7891150092754</t>
  </si>
  <si>
    <t>FOFO AMAC CONC AZUL T 12X500ML+500X400ML</t>
  </si>
  <si>
    <t>7891150092761</t>
  </si>
  <si>
    <t>FOFO AMAC CONC AMARELO CHAMEGO 12X500ML</t>
  </si>
  <si>
    <t>7891150092747</t>
  </si>
  <si>
    <t>FOFO AMAC CONC AZUL TUDAO 12X500ML</t>
  </si>
  <si>
    <t>7891150092716</t>
  </si>
  <si>
    <t>FOFO CONCENTRADO TRADICIONAL 6X1.9L</t>
  </si>
  <si>
    <t>7891150037212</t>
  </si>
  <si>
    <t>AMACIANTES CONCENTRADOS</t>
  </si>
  <si>
    <t>7891038127509</t>
  </si>
  <si>
    <t>FOFO SUPER AMAC CONC TRAD12X500ML PR SUG</t>
  </si>
  <si>
    <t>7891150001596</t>
  </si>
  <si>
    <t xml:space="preserve"> FOFO AMAC CONC CHEIRINHO BEBE 12X500ML</t>
  </si>
  <si>
    <t>7891150001626</t>
  </si>
  <si>
    <t>FOFO AMAC CONC FRUTAL</t>
  </si>
  <si>
    <t>7891150001602</t>
  </si>
  <si>
    <t>FOFO SUP AMAC CONC CHEIR INFANCI12X500ML</t>
  </si>
  <si>
    <t>7891150061958</t>
  </si>
  <si>
    <t>FOFO SUP AMAC CONC CHEIR NATUR 12X500ML</t>
  </si>
  <si>
    <t>7891150061965</t>
  </si>
  <si>
    <t>FOFO AMAC CONC TRAD12X500ML500MLX450ML</t>
  </si>
  <si>
    <t>7891150056473</t>
  </si>
  <si>
    <t>BRILHANTE DT LIQ PERF EXTRAOR 12X900MLNE</t>
  </si>
  <si>
    <t>BRILHANTE DT LIQ HIGI TOT12X900ML NE</t>
  </si>
  <si>
    <t>7891150066526</t>
  </si>
  <si>
    <t>OMO DT LIQ ACAO TOTAL 6X1.4L</t>
  </si>
  <si>
    <t>OMO DT LIQ ULTRA POWER 6X1.8L</t>
  </si>
  <si>
    <t>7891150091269</t>
  </si>
  <si>
    <t>OMO DT LIQ PURO CUIDADO 4X3L</t>
  </si>
  <si>
    <t>7891150107489</t>
  </si>
  <si>
    <t>OMO DT LIQ LAVAG PERFEITA 4X3L NE</t>
  </si>
  <si>
    <t>7891150107465</t>
  </si>
  <si>
    <t>OMO DT LIQ LAVANDA 4X3L</t>
  </si>
  <si>
    <t>7891150107472</t>
  </si>
  <si>
    <t>OMO DT LIQ PROTECAO MICELAR 4X3L</t>
  </si>
  <si>
    <t>7891150072657</t>
  </si>
  <si>
    <t>OMO DT LIQ SPORTS 4X3L PRM 3LX2.5L</t>
  </si>
  <si>
    <t>7891150056244</t>
  </si>
  <si>
    <t>OMO DT LIQ FORCA DA NATUREZA 4X3L</t>
  </si>
  <si>
    <t>7891150062245</t>
  </si>
  <si>
    <t>OMO DT LIQ +PURO CUIDADO 4X3L+3LX2.5L</t>
  </si>
  <si>
    <t>7891150057463</t>
  </si>
  <si>
    <t>OMO DT LIQ +SPORTS 4X3L</t>
  </si>
  <si>
    <t>7891150053892</t>
  </si>
  <si>
    <t>OMO DT LIQ L P4X3L PRM 3LX2.5L</t>
  </si>
  <si>
    <t>7891150038707</t>
  </si>
  <si>
    <t>OMO MULT C/TOQ DE COMFORT LILAS 4X3L</t>
  </si>
  <si>
    <t>7891150044265</t>
  </si>
  <si>
    <t>DT OMO LIQ ROUPAS</t>
  </si>
  <si>
    <t>7891150042551</t>
  </si>
  <si>
    <t xml:space="preserve"> OMO MULT C/TOQ DE COMF ORIG 4X3L NE</t>
  </si>
  <si>
    <t>7891150032712</t>
  </si>
  <si>
    <t>OMO DT LIQ LAVAGEM PERFEITA 4X3L</t>
  </si>
  <si>
    <t>OMO MULT C/TOQ DE COMFORT DOURADO 4X3L</t>
  </si>
  <si>
    <t>7891150032699</t>
  </si>
  <si>
    <t>OMO DT LIQ ACAO TOTAL 12X750ML</t>
  </si>
  <si>
    <t>OMO DT LIQ PROTECAO MICELAR 12X900ML NE</t>
  </si>
  <si>
    <t>7891150072671</t>
  </si>
  <si>
    <t>OMO DT LIQ +PURO CUIDADO DP 12X900ML</t>
  </si>
  <si>
    <t>OMO DT LIQ LAVA PERFE 12X900ML</t>
  </si>
  <si>
    <t>OMO DT LIQ FORCA DA NATUREZA DP 12X900ML</t>
  </si>
  <si>
    <t>7891150064966</t>
  </si>
  <si>
    <t>OMO DT LIQ +SPORTS DP 12X900ML</t>
  </si>
  <si>
    <t>7891150064942</t>
  </si>
  <si>
    <t>SURF DT LIQ CUIDADO DO COCO 4X3L</t>
  </si>
  <si>
    <t>7891150063495</t>
  </si>
  <si>
    <t>SURF DT LIQ HORTENCIA FLOR BRANCA 4X3L</t>
  </si>
  <si>
    <t>7891150031081</t>
  </si>
  <si>
    <t>SURF DT LIQ ROSAS E FLOR DE LIS 4X3L</t>
  </si>
  <si>
    <t>7891150031111</t>
  </si>
  <si>
    <t>SURF DT LIQ LAVANDA 12X900ML</t>
  </si>
  <si>
    <t>SURF DT LIQ CUIDADO DO COCO 12X900ML</t>
  </si>
  <si>
    <t>BRILHANTE DT PO LIMPEZA T 7X1.6KG</t>
  </si>
  <si>
    <t>BRILHANTE DT PO DELICADEZA TOTAL 7X1.6KG</t>
  </si>
  <si>
    <t>7891150086517</t>
  </si>
  <si>
    <t>BRILHANTE DT PO CUID T 7X1.6KG</t>
  </si>
  <si>
    <t>7891150086463</t>
  </si>
  <si>
    <t>BRILHANTE DT PO L T CT9X1.6KG L1.6P1.450</t>
  </si>
  <si>
    <t>7891150086401</t>
  </si>
  <si>
    <t>BRILHANTE DT PO L T 7X1.6KG L1.6P1.450</t>
  </si>
  <si>
    <t>7891150086425</t>
  </si>
  <si>
    <t>BRILHANTE DT PO PERFUME EXTR 7X1.6KG</t>
  </si>
  <si>
    <t>7891150107229</t>
  </si>
  <si>
    <t>BRILHANTE DT PO LIMPEZA TOTAL 7X1.6KG</t>
  </si>
  <si>
    <t>7891150107243</t>
  </si>
  <si>
    <t>BRILHANTE DT PO LIMP PODEROSA 8X1,6KG NE</t>
  </si>
  <si>
    <t>7891150107168</t>
  </si>
  <si>
    <t>BRILHANTE DT PO PERF PODEROSO 8X1,6KG NE</t>
  </si>
  <si>
    <t>7891150107137</t>
  </si>
  <si>
    <t>BRILHANTE DT PO DELIC TOTAL CT 9X1.6KG</t>
  </si>
  <si>
    <t>7891150093867</t>
  </si>
  <si>
    <t>BRILHANTE DT PO LIMPEZA TOTAL CT 9X1.6KG</t>
  </si>
  <si>
    <t>7891150086555</t>
  </si>
  <si>
    <t>OMO DT PO L P BG 7X1.6KG+L1.6 P1.450 NE</t>
  </si>
  <si>
    <t>7891150081178</t>
  </si>
  <si>
    <t>OMO DT PO PROTECAO MICELAR CART9X1.6KG</t>
  </si>
  <si>
    <t>7891150072220</t>
  </si>
  <si>
    <t>OMO DT PO L P BG7X1.6KG+L1.6KG P1.4KG NE</t>
  </si>
  <si>
    <t>7891150064560</t>
  </si>
  <si>
    <t>OMO DT PO LAV PER 9X1.6KG+L1.6KG P1.4KG</t>
  </si>
  <si>
    <t>7891150064348</t>
  </si>
  <si>
    <t>OMO DT PO SPORTS 9X1.6KG</t>
  </si>
  <si>
    <t>7891150064621</t>
  </si>
  <si>
    <t>OMO DT PO LAV PER BG 7X1.6KG</t>
  </si>
  <si>
    <t>7891150064553</t>
  </si>
  <si>
    <t>OMO DT PO +PURO CUIDADO 9X1.6KG</t>
  </si>
  <si>
    <t>7891150064676</t>
  </si>
  <si>
    <t>OMO DT PO LAVAGEM PERFEITA 9X1.6KG</t>
  </si>
  <si>
    <t>OMO DT PO L P CART9X1.6KG+LV1.6 PG1.450</t>
  </si>
  <si>
    <t>7891150081147</t>
  </si>
  <si>
    <t>OMO DT PO LAVAGEM PERFEITA 4X3.2KG PRM</t>
  </si>
  <si>
    <t>7891150089549</t>
  </si>
  <si>
    <t>OMO DT PO LAV PER 9X1.6KG+LV1.6 PG1.28</t>
  </si>
  <si>
    <t>7891150093546</t>
  </si>
  <si>
    <t>SURF DT PO DELICADEZA DO COCO 7X1.6KG</t>
  </si>
  <si>
    <t>7891150106840</t>
  </si>
  <si>
    <t>SURF DT PO EXPLOSAO DE FLORES 7X1.6KG</t>
  </si>
  <si>
    <t>7891150106833</t>
  </si>
  <si>
    <t>SURF SN PO CUIDADO DO COCO 7X1.6KG</t>
  </si>
  <si>
    <t>7891150073692</t>
  </si>
  <si>
    <t>SURF SN PO ROSAS FL LIS7X1.6KG</t>
  </si>
  <si>
    <t>7891150066786</t>
  </si>
  <si>
    <t>LIMP CIF 12X500ML EXTERM LIMO ESPUMA GATILH</t>
  </si>
  <si>
    <t>CIF CREM ORIG 12X250ML PRM200ML</t>
  </si>
  <si>
    <t>7891150090804</t>
  </si>
  <si>
    <t xml:space="preserve"> CIF CR ULTRA HIGIENE 12X250ML</t>
  </si>
  <si>
    <t>7891150038158</t>
  </si>
  <si>
    <t xml:space="preserve"> CIF CR LARANJA 12X250ML</t>
  </si>
  <si>
    <t xml:space="preserve"> CIF CREMOSO LIMP PROF LIMAO 12X250ML</t>
  </si>
  <si>
    <t xml:space="preserve"> CIF CREMOSO LIMP PROF BCO 12X250ML</t>
  </si>
  <si>
    <t>CIF CREM LIMP PROFUNDA LIMAO 12X450ML</t>
  </si>
  <si>
    <t>CIF CREM LIMP PROFUNDA BRANCO 12X450ML</t>
  </si>
  <si>
    <t>CIF CR LARANJA 12X450ML</t>
  </si>
  <si>
    <t>CIF BCO CREM 12X450ML PRM 450MLX360ML</t>
  </si>
  <si>
    <t>7891150034785</t>
  </si>
  <si>
    <t>CIF CR ULTRA HIGIENE 12X450ML</t>
  </si>
  <si>
    <t>7891150038141</t>
  </si>
  <si>
    <t>7891150062153</t>
  </si>
  <si>
    <t>CIF CREM LIMP PROFUNDA BRANCO 6X2X450ML</t>
  </si>
  <si>
    <t>7891150030275</t>
  </si>
  <si>
    <t xml:space="preserve"> CIF ULTRA RAPIDO VIDROS DOYP 15X450ML</t>
  </si>
  <si>
    <t>VIM CLORO ADITIVADO FLORAL 12X700ML</t>
  </si>
  <si>
    <t>7891150057548</t>
  </si>
  <si>
    <t>VIM CLORO GEL ORIGINAL 12X700ML PRM500ML</t>
  </si>
  <si>
    <t>7891150090811</t>
  </si>
  <si>
    <t>MAIZENA AMIDO MILHO VITAMINA 50X200G</t>
  </si>
  <si>
    <t>7891150077072</t>
  </si>
  <si>
    <t>MAIZENA AMIDO MIL CART50X200G LV200PG150</t>
  </si>
  <si>
    <t>7891150055070</t>
  </si>
  <si>
    <t xml:space="preserve"> MAIZENA AMIDO MILHO CART 50X200GR</t>
  </si>
  <si>
    <t>KNORR TEMP FEIJAO CART 16X10X3L/57G</t>
  </si>
  <si>
    <t>7894000000299</t>
  </si>
  <si>
    <t>7891700202510</t>
  </si>
  <si>
    <t xml:space="preserve"> KNORR CDO CARNE CART 16X10X3L/57G</t>
  </si>
  <si>
    <t>KNORR CDO GALINHA/COEN/COLORAU10X3L/57G</t>
  </si>
  <si>
    <t>7891700207409</t>
  </si>
  <si>
    <t xml:space="preserve"> KNORR CDO P/ARROZ ALHO CEB 16X10X3L/57G</t>
  </si>
  <si>
    <t>7894000033730</t>
  </si>
  <si>
    <t xml:space="preserve"> KNORR CDO LEGUMES CART 16X10X3L/57G</t>
  </si>
  <si>
    <t>7894000000268</t>
  </si>
  <si>
    <t xml:space="preserve"> KNORR CDO PICANHA CART 16X10X3L/57G</t>
  </si>
  <si>
    <t>7891700200523</t>
  </si>
  <si>
    <t xml:space="preserve"> KNORR CDO GALINHA CART 16X10X3L/57G</t>
  </si>
  <si>
    <t xml:space="preserve"> KNORR CDO COSTELA CART 16X10X3L/57G</t>
  </si>
  <si>
    <t>7894000033808</t>
  </si>
  <si>
    <t>KNORR CDO FEIJOADA CART 3L/57G</t>
  </si>
  <si>
    <t>7891700206648</t>
  </si>
  <si>
    <t xml:space="preserve"> KNORR CDO BACON CART 16X10X3L/57G</t>
  </si>
  <si>
    <t>7894000033860</t>
  </si>
  <si>
    <t>KNORR CDO CARNE CART 16X10X57G/3L PRM6X5</t>
  </si>
  <si>
    <t>7891150047662</t>
  </si>
  <si>
    <t>KNORR CDO GAL CART 16X10X57G/3L PRM 6X5</t>
  </si>
  <si>
    <t>7891150047648</t>
  </si>
  <si>
    <t>KNORR CDO BRASILEIRIN CART 16X10X3L/57G</t>
  </si>
  <si>
    <t>7891150079366</t>
  </si>
  <si>
    <t>KNORR CDO MIX DISPLAY 4X40X3L/57G</t>
  </si>
  <si>
    <t>7891150073753</t>
  </si>
  <si>
    <t>KNORR CDO MIX 3X3L/57G</t>
  </si>
  <si>
    <t>7891150074675</t>
  </si>
  <si>
    <t>KNORR PURO CDO DE BRA CART16X10X3L/57G</t>
  </si>
  <si>
    <t>7891150100077</t>
  </si>
  <si>
    <t>HELLMANNS KET 12X2X380G LV+PG-</t>
  </si>
  <si>
    <t>7891150077775</t>
  </si>
  <si>
    <t>HELLMANNS KET TRAD SQZ 24X380G+ OF ESP</t>
  </si>
  <si>
    <t>7891150089327</t>
  </si>
  <si>
    <t>HELLMANNS KET PICANTE 24X380G</t>
  </si>
  <si>
    <t>7891150027831</t>
  </si>
  <si>
    <t>HELLMANNS KET TRADICIONAL SQZ 24X380G</t>
  </si>
  <si>
    <t>HELLMANNS MAI REGULAR 6X2X500G PRM</t>
  </si>
  <si>
    <t>7891150072640</t>
  </si>
  <si>
    <t>HELLMANNS MAI REGULAR PET 12X600G PRM</t>
  </si>
  <si>
    <t>7891150072053</t>
  </si>
  <si>
    <t>HELLMANNS MAI REG + VER PET 6X2X500G PRM</t>
  </si>
  <si>
    <t>7891150074682</t>
  </si>
  <si>
    <t>HELLMANNS MAI VERDE PET 12X500G</t>
  </si>
  <si>
    <t>7891150072060</t>
  </si>
  <si>
    <t>HELLMANNS MAI CHIPOTLE PET 12X500G</t>
  </si>
  <si>
    <t>7891150072084</t>
  </si>
  <si>
    <t>HELLMANNS MAI AIOLI PET 12X500G</t>
  </si>
  <si>
    <t>7891150072077</t>
  </si>
  <si>
    <t>HELLMANNS MAI PET 12X500G PRM 500GX450G</t>
  </si>
  <si>
    <t>7891700205467</t>
  </si>
  <si>
    <t xml:space="preserve"> HELLMANNS MAI LIMAO PET 12X500G</t>
  </si>
  <si>
    <t>7894000050539</t>
  </si>
  <si>
    <t>HELLMANNS MAI REG PET 12X500G PRM 12X11</t>
  </si>
  <si>
    <t>7891150058262</t>
  </si>
  <si>
    <t>HELLMANNS MAI R P5X2X500G 50% D SEG UN</t>
  </si>
  <si>
    <t>7891150066359</t>
  </si>
  <si>
    <t>HELLMANNS MAI REG PET 6X500G+KET+PR ESP</t>
  </si>
  <si>
    <t>7891150066168</t>
  </si>
  <si>
    <t>HELLMANNS MAI CHIPOTLE SQUEEZE 24X335G</t>
  </si>
  <si>
    <t>7891150079908</t>
  </si>
  <si>
    <t>HELMANNS MAI CHURRASCO SQZ 24X335G</t>
  </si>
  <si>
    <t>HELLMANNS MAI CEB CARAM SQUEEZE 24X335G</t>
  </si>
  <si>
    <t>7891150084001</t>
  </si>
  <si>
    <t>HELLMANNS MAI TEMP CEBOLA SQZ 24X335G</t>
  </si>
  <si>
    <t>7891150084636</t>
  </si>
  <si>
    <t>HELLMANNS MAI SQUEEZE 12X2X335G LV+PG-</t>
  </si>
  <si>
    <t>7891150078956</t>
  </si>
  <si>
    <t>MAIONESE ALHO NBA MIAMI HEAT HELLMANNS SQUEEZE 335G</t>
  </si>
  <si>
    <t>HELLMANNS MAI VERDE SQZ 24X335G+ OF ESP</t>
  </si>
  <si>
    <t>7891150094864</t>
  </si>
  <si>
    <t>HELLMANNS MAI QUEIJO 24X335G</t>
  </si>
  <si>
    <t>7891150104990</t>
  </si>
  <si>
    <t>HELLMANNS MAI REG SQZ 24X335G+ OF ESP</t>
  </si>
  <si>
    <t>7891150107533</t>
  </si>
  <si>
    <t>KNORR MOL PIMENTA C/ALHO 24X150ML</t>
  </si>
  <si>
    <t>7891150057715</t>
  </si>
  <si>
    <t>KNORR MOLHO DE PIMENTA SUAVE 24X150ML</t>
  </si>
  <si>
    <t>7891150057708</t>
  </si>
  <si>
    <t>CLOSE UP CD CARVAO ATIVADO 72X60G</t>
  </si>
  <si>
    <t>7891150103283</t>
  </si>
  <si>
    <t>CLOSE UP CD CARVAO ATIVADO 36X128G</t>
  </si>
  <si>
    <t>7891150103276</t>
  </si>
  <si>
    <t>7891150084162</t>
  </si>
  <si>
    <t>CLOSE UP ENX BUC ICE C/ALCOOL 12X250ML</t>
  </si>
  <si>
    <t>7891150071827</t>
  </si>
  <si>
    <t>CLOSE UP G D PROT REG ANTIB 72X85G NE</t>
  </si>
  <si>
    <t>7891150078543</t>
  </si>
  <si>
    <t>CLOSE UP C D PEPPERMINT DROPS 6X12X90G</t>
  </si>
  <si>
    <t>7891150063082</t>
  </si>
  <si>
    <t>CLOSE UP C D ALOE FRESH 6X12X90G</t>
  </si>
  <si>
    <t>7891150063594</t>
  </si>
  <si>
    <t>CLOSE UP C D RED HOT 3X12X130G</t>
  </si>
  <si>
    <t>7891037002647</t>
  </si>
  <si>
    <t>CLOSE UP C D EUCALIPTUS FREEZE 6X12X90G</t>
  </si>
  <si>
    <t>7891037006324</t>
  </si>
  <si>
    <t>CLOSE UP C D MENTHOL PARADISE 6X12X90G</t>
  </si>
  <si>
    <t>7891037744257</t>
  </si>
  <si>
    <t>CLOSEUP MVIT E BENEF WHITE 72X85G</t>
  </si>
  <si>
    <t>7891150088351</t>
  </si>
  <si>
    <t>CLOSE UP C D TRIP MENTA 12X6X70G LV+PG-</t>
  </si>
  <si>
    <t>7891150071292</t>
  </si>
  <si>
    <t>CLOSE UP TRIPLE</t>
  </si>
  <si>
    <t>7891150023307</t>
  </si>
  <si>
    <t>CLOSE UP C D TRIPLE HORT 790GR/60CM3</t>
  </si>
  <si>
    <t>7891037009820</t>
  </si>
  <si>
    <t>CLOSE UP C D TRIPLE M SILV 790G</t>
  </si>
  <si>
    <t>7898422742386</t>
  </si>
  <si>
    <t>7898422749958</t>
  </si>
  <si>
    <t>CLOSE UP C D TRIPLE MENTA 790GR</t>
  </si>
  <si>
    <t>7891037009844</t>
  </si>
  <si>
    <t>7891150032415</t>
  </si>
  <si>
    <t>CLOSE UP C D TRIP M 6X12X90G PRM 12X10</t>
  </si>
  <si>
    <t>7891150027619</t>
  </si>
  <si>
    <t>CLOSE UP C D TRIP HORT 12X90G PRM12X10</t>
  </si>
  <si>
    <t>7891150035966</t>
  </si>
  <si>
    <t>CLOSE UP C D TRIP MENTA6X12X70G PRM 12X9</t>
  </si>
  <si>
    <t>7891150061712</t>
  </si>
  <si>
    <t>CLOSE UP C D TRIPLE HORTELA 72X70G</t>
  </si>
  <si>
    <t>7891150049888</t>
  </si>
  <si>
    <t>CLOSE UP C D TRIP M 6X12X70G PRM12X10</t>
  </si>
  <si>
    <t>7891150049901</t>
  </si>
  <si>
    <t>CLOSE UP C D TRIP MENT 24X3X70G PRM L3P2</t>
  </si>
  <si>
    <t>7891150049925</t>
  </si>
  <si>
    <t>CLOSE UP C D TRIPLE HORT24X3X70G PRM L3</t>
  </si>
  <si>
    <t>7891150052390</t>
  </si>
  <si>
    <t>AXE DEO AER AP YOU 12X90G/152ML</t>
  </si>
  <si>
    <t>7791293035161</t>
  </si>
  <si>
    <t>AXE DEO AER AP URBAN 12X90G/152ML</t>
  </si>
  <si>
    <t>AXE DEO AER AP ADRENALINE 12X90G/152ML</t>
  </si>
  <si>
    <t>7506306233355</t>
  </si>
  <si>
    <t>DEO AXE AERO REGULAR</t>
  </si>
  <si>
    <t>7891150041134</t>
  </si>
  <si>
    <t>AXE DEO AER AP SIGN 12X90G/152ML</t>
  </si>
  <si>
    <t>7506306233348</t>
  </si>
  <si>
    <t>AXE AER AP GOLD TEMPT 12X90G/152ML</t>
  </si>
  <si>
    <t>7791293027111</t>
  </si>
  <si>
    <t>AXE DEO AER AP APOLLO 12X90G/152ML</t>
  </si>
  <si>
    <t>7791293025896</t>
  </si>
  <si>
    <t>AXE DEO AER AP PEACE 12X90G/152ML</t>
  </si>
  <si>
    <t>7791293025872</t>
  </si>
  <si>
    <t>AXE DEO AER AP BLACK 12X90G/152ML</t>
  </si>
  <si>
    <t>7791293028774</t>
  </si>
  <si>
    <t>AXE AER AP DARK TEMPT 12X90G/152ML</t>
  </si>
  <si>
    <t>7791293025889</t>
  </si>
  <si>
    <t>7791293025841</t>
  </si>
  <si>
    <t>AXE DEO AER BS APOLLO 12X97G/150ML</t>
  </si>
  <si>
    <t>AXE AER BS PEACE 12X96GR/150ML</t>
  </si>
  <si>
    <t>7791293025858</t>
  </si>
  <si>
    <t>AXE AER AP TOP 12X90G/152ML</t>
  </si>
  <si>
    <t>7791293025933</t>
  </si>
  <si>
    <t>7891150039629</t>
  </si>
  <si>
    <t>7898422749040</t>
  </si>
  <si>
    <t>7891150036079</t>
  </si>
  <si>
    <t>7891150039612</t>
  </si>
  <si>
    <t>7891150023611</t>
  </si>
  <si>
    <t>DOVE DEO AER AP NATURAL CARE 100G</t>
  </si>
  <si>
    <t>7791293018829</t>
  </si>
  <si>
    <t>DOVE DEO AER AP BEAUTY FINISH 100G</t>
  </si>
  <si>
    <t>7791293014012</t>
  </si>
  <si>
    <t>DOVE DEO AER AP GO FRESH PEP TE 100G</t>
  </si>
  <si>
    <t>7791293991283</t>
  </si>
  <si>
    <t>DOVE DEO AER AP INVISIBLE DRY 100G</t>
  </si>
  <si>
    <t>7791293008868</t>
  </si>
  <si>
    <t>DOVE DEO AER AP ORIGINAL 100G</t>
  </si>
  <si>
    <t>7791293008141</t>
  </si>
  <si>
    <t>DOVE DEO AER AP DERMO ACLARANT 100G</t>
  </si>
  <si>
    <t>7791293998619</t>
  </si>
  <si>
    <t>DOVE DEO AER AP INVDR  40% DESC</t>
  </si>
  <si>
    <t>7891150043183</t>
  </si>
  <si>
    <t>DOVE DEO AER AP ORIG +25% DESC</t>
  </si>
  <si>
    <t>7891150043664</t>
  </si>
  <si>
    <t>DOVE DEO AER AP ORIG 12X2X100G 40% DESC</t>
  </si>
  <si>
    <t>7891150043190</t>
  </si>
  <si>
    <t>DOVE DEO AER AP INV DRY +25%DESC</t>
  </si>
  <si>
    <t>7891150043671</t>
  </si>
  <si>
    <t>DOVE AER AP GO FRESH GRANADA 12X100G</t>
  </si>
  <si>
    <t>7791293030029</t>
  </si>
  <si>
    <t>DOVE AER AP POWDER SOFT 12X89G/150ML</t>
  </si>
  <si>
    <t>7791293033242</t>
  </si>
  <si>
    <t>DOVE AER AP SENSITIVE 12X89G/150ML</t>
  </si>
  <si>
    <t>DOVE AER AP GO FRESH PEP TE 12X89G/150ML</t>
  </si>
  <si>
    <t>DOVE DEO AER AP INVIS DRY 6X2X89G PR ESP</t>
  </si>
  <si>
    <t>7891150053366</t>
  </si>
  <si>
    <t>DOVE AER AP ORIGINAL 12X89G/150ML</t>
  </si>
  <si>
    <t>DOVE AER AP GO F GRAN VERBEN12X89G/150ML</t>
  </si>
  <si>
    <t>DOVE DEO AER AP INVIS DRY 12X89G/150ML</t>
  </si>
  <si>
    <t>DOVE DEO AER AP D ACLARANT 12X89G/150ML</t>
  </si>
  <si>
    <t>7506306241152</t>
  </si>
  <si>
    <t>DOVE AER AP BEAUTY FINISH 12X89G/150ML</t>
  </si>
  <si>
    <t>DOVE DEO AERO AP ORIGINAL 6X2X89G PR ESP</t>
  </si>
  <si>
    <t>7891150053342</t>
  </si>
  <si>
    <t>DOVE AER AP NUTRI SECRETS M 12X89G/150ML</t>
  </si>
  <si>
    <t>DOVE AER AP NUTRI SECRETS L 12X89G/150ML</t>
  </si>
  <si>
    <t>DOVE DEO AER AP ORIGINAL 4X3X89G PD</t>
  </si>
  <si>
    <t>7891150054417</t>
  </si>
  <si>
    <t>DOVE DEO AER AP INVIS DRY 4X3X89G</t>
  </si>
  <si>
    <t>7891150069459</t>
  </si>
  <si>
    <t>DOVE DEO AER AP ORIGINAL 4X3X89G</t>
  </si>
  <si>
    <t>7891150069466</t>
  </si>
  <si>
    <t>DOVE AER AP GO F GRAN VERBEN 4X3X89G</t>
  </si>
  <si>
    <t>7891150069558</t>
  </si>
  <si>
    <t>DOVE WOMEN AER AP INVIS DRY 4X3X89G PD</t>
  </si>
  <si>
    <t>7891150054400</t>
  </si>
  <si>
    <t>DOVE DEO AER AP INVISIBLE DRY8X3X100G PD</t>
  </si>
  <si>
    <t>7891150050860</t>
  </si>
  <si>
    <t>DOVE DEO AER AP ORIG+CUI T 4X3X89G/150ML</t>
  </si>
  <si>
    <t>7891150068773</t>
  </si>
  <si>
    <t>DOVE DEO CREME ORIG 12X50G</t>
  </si>
  <si>
    <t>DOVE MEN AER AP CUID TOTAL 4X3X89G PD</t>
  </si>
  <si>
    <t>7891150054394</t>
  </si>
  <si>
    <t>DOVE MEN AER AP INVISIBLE DRY 4X3X89G PD</t>
  </si>
  <si>
    <t>7891150054424</t>
  </si>
  <si>
    <t>DOVE MEN AER AP INVIS FRESH 12X150ML</t>
  </si>
  <si>
    <t>DOVE MEN AER AP INVIS DRY 4X3X89G</t>
  </si>
  <si>
    <t>7891150069497</t>
  </si>
  <si>
    <t>DOVE MEN AER AP CUIDADO TOT 4X3X89G</t>
  </si>
  <si>
    <t>7891150069527</t>
  </si>
  <si>
    <t>DOVE MEN AER AP LIMAO 12X150ML</t>
  </si>
  <si>
    <t>7891150084148</t>
  </si>
  <si>
    <t>DOVE MEN AER AP EUCALIPTO 12X150ML</t>
  </si>
  <si>
    <t>7891150084155</t>
  </si>
  <si>
    <t>DOVE MEN+CARE AER AP C TOT6X2X89G+PR ESP</t>
  </si>
  <si>
    <t>7891150053465</t>
  </si>
  <si>
    <t>DOVE DEO AER AP INV DRY 89G+25% DESC</t>
  </si>
  <si>
    <t>7891150043688</t>
  </si>
  <si>
    <t>DOVE DEO AER AP INV DRY 6X2X89G+PR ESP</t>
  </si>
  <si>
    <t>7891150040328</t>
  </si>
  <si>
    <t>DOVE DEO AER AP ENERGY DRY 89G</t>
  </si>
  <si>
    <t>7791293006154</t>
  </si>
  <si>
    <t>DOVE MEN AER AP CUIDADO TOT 12X89G/150ML</t>
  </si>
  <si>
    <t>DOVE MEN AER AP S/PERF 12X150ML</t>
  </si>
  <si>
    <t>DOVE MEN AP PROT ANTIBAC 12X89G/150ML</t>
  </si>
  <si>
    <t>7791293018874</t>
  </si>
  <si>
    <t>DOVE DEO AER AP C COMF 12X2X89G+40%DESC</t>
  </si>
  <si>
    <t>7891150040335</t>
  </si>
  <si>
    <t>DOVE MEN AER AP INVIS DRY 12X89G/150ML</t>
  </si>
  <si>
    <t>7891150006041</t>
  </si>
  <si>
    <t>DOVE DEO ROLLON NATURAL CARE 12X50ML</t>
  </si>
  <si>
    <t>78930865</t>
  </si>
  <si>
    <t>DOVE DEO ROLLON POWDER SOFT 50ML</t>
  </si>
  <si>
    <t>75050849</t>
  </si>
  <si>
    <t>DOVE DEO ROLLON PURE 50ML</t>
  </si>
  <si>
    <t>78931596</t>
  </si>
  <si>
    <t>DOVE MEN DEO ROL SILVER CONTROL 12X50ML</t>
  </si>
  <si>
    <t>78931312</t>
  </si>
  <si>
    <t>DOVE DEO ROL PEPINO E CHA VERDE 50ML</t>
  </si>
  <si>
    <t>78924512</t>
  </si>
  <si>
    <t>DOVE DEO ROLLON ORIGINAL 50ML</t>
  </si>
  <si>
    <t>DOVE DEO ROLLON INVISIBLE DRY 50ML</t>
  </si>
  <si>
    <t>DOVE DEO ROLLON DERMO ACLARANT 50ML</t>
  </si>
  <si>
    <t>78928503</t>
  </si>
  <si>
    <t>DOVE DEO ROLLON SENSITIVE 12X50ML</t>
  </si>
  <si>
    <t>78925342</t>
  </si>
  <si>
    <t>DOVE DEO ROLLON BEAUTY FINISH</t>
  </si>
  <si>
    <t>78929241</t>
  </si>
  <si>
    <t>DOVE MEN DEO ROL PROT TOT 12X50ML</t>
  </si>
  <si>
    <t>DOVE DEO ROL ENERGY DRY 12X50ML</t>
  </si>
  <si>
    <t>78929319</t>
  </si>
  <si>
    <t>DOVE MEN DEO ROLLON EXTRA FRESH 50ML</t>
  </si>
  <si>
    <t>78925519</t>
  </si>
  <si>
    <t>DOVE DEO ROLLON ORIG 50ML+25%DESC</t>
  </si>
  <si>
    <t>7891150043633</t>
  </si>
  <si>
    <t>DOVE DEO ROLLON GOFRESH GRAN VER 12X50ML</t>
  </si>
  <si>
    <t>7891150006386</t>
  </si>
  <si>
    <t>DOVE DEO ROL ORIGINAL15X2X50ML PR ESP</t>
  </si>
  <si>
    <t>7891150062597</t>
  </si>
  <si>
    <t>DOVE DEO ROL AP INVI DRY15X2X50ML PR ESP</t>
  </si>
  <si>
    <t>7891150105447</t>
  </si>
  <si>
    <t>DOVE DEO ROL AP ORIGINAL15X2X50ML PR ESP</t>
  </si>
  <si>
    <t>7891150105430</t>
  </si>
  <si>
    <t>7891150099784</t>
  </si>
  <si>
    <t>DOVE FM DEO ROL INV DRY 15X2X50ML PR ESP</t>
  </si>
  <si>
    <t>7891150099791</t>
  </si>
  <si>
    <t>REXONA M CLIN DEO AER IN FR 12X91G/150ML</t>
  </si>
  <si>
    <t>REXONA CLIN DEO AER AP CLEAN 4X3X91G</t>
  </si>
  <si>
    <t>7891150066311</t>
  </si>
  <si>
    <t>REXONA DEO AER AP NOW UNITED12X90G/150ML</t>
  </si>
  <si>
    <t>7891150063204</t>
  </si>
  <si>
    <t>REXONA DEO AER AP COTTON 6X2X90G PR ESP</t>
  </si>
  <si>
    <t>7891150057104</t>
  </si>
  <si>
    <t>REXONA DEO AER AP TORC FAN 12X90G/150ML</t>
  </si>
  <si>
    <t>7891150055605</t>
  </si>
  <si>
    <t>REXONA DEO AER POMELO E VERB12X90G/150ML</t>
  </si>
  <si>
    <t>7791293036045</t>
  </si>
  <si>
    <t>REXONA DEO AER AP V8 6X2X90G PRM PR ESP</t>
  </si>
  <si>
    <t>7891150057111</t>
  </si>
  <si>
    <t>REXONA DEO AER F BCAS E LIC 12X90G/150ML</t>
  </si>
  <si>
    <t>7791293036052</t>
  </si>
  <si>
    <t>REXONA MEN DEO AER AP S/PERF12X90G/150ML</t>
  </si>
  <si>
    <t>REXONA W DEO AER ANTIB INV90G LV+PG-</t>
  </si>
  <si>
    <t>7891150053496</t>
  </si>
  <si>
    <t>REXONA DEO AER AP ACTIVE 90G L4P3</t>
  </si>
  <si>
    <t>7891150054059</t>
  </si>
  <si>
    <t>REXONA DEO AER AP XTRAC 12X90G+20%DESC</t>
  </si>
  <si>
    <t>7891150054219</t>
  </si>
  <si>
    <t>REXONA M DEO AER ANTIB INV6X2X90G PR ESP</t>
  </si>
  <si>
    <t>7891150053403</t>
  </si>
  <si>
    <t>REXONA AER AP IMPACT12X90G/150ML+20%DESC</t>
  </si>
  <si>
    <t>7891150055131</t>
  </si>
  <si>
    <t>REXONA AER AP E DOCE12X90G/150ML+20%DESC</t>
  </si>
  <si>
    <t>7891150055124</t>
  </si>
  <si>
    <t>REXONA DEO AER IMPACTO 90G/150ML</t>
  </si>
  <si>
    <t>REXONA DEO AER ERVA DOCE 12X90G/150ML</t>
  </si>
  <si>
    <t>REXONA W DEO AER AP ANTIB I12X90G/150ML</t>
  </si>
  <si>
    <t>REXONA DEO AER AP ANTIBAC6X2X90G+40%DESC</t>
  </si>
  <si>
    <t>7891150048560</t>
  </si>
  <si>
    <t>REXONA DEO AER AP POWDER 4X3X90G LV+PG-</t>
  </si>
  <si>
    <t>7891150048584</t>
  </si>
  <si>
    <t>REXONA DEO AER BAMBOO 6X2X90G PRE ESP</t>
  </si>
  <si>
    <t>7891150048539</t>
  </si>
  <si>
    <t>REXONA WON DEO AER AP INV 90G LV+PG-</t>
  </si>
  <si>
    <t>7891150048669</t>
  </si>
  <si>
    <t>REXONA DEO AER AP POWD 6X2X90G+40%DESC</t>
  </si>
  <si>
    <t>7891150048577</t>
  </si>
  <si>
    <t>REXONA WOM AER AP INVIS 6X2X90G+40%DESC</t>
  </si>
  <si>
    <t>7891150048553</t>
  </si>
  <si>
    <t>REXONA AER AP COTTON12X90G/150ML+20%DESC</t>
  </si>
  <si>
    <t>7891150054202</t>
  </si>
  <si>
    <t>REXONA AER AP BAMBOO12X90G/150ML+20%DESC</t>
  </si>
  <si>
    <t>7891150054226</t>
  </si>
  <si>
    <t>REXONA DEO AER AP V8 90G+20%DESC</t>
  </si>
  <si>
    <t>7891150054196</t>
  </si>
  <si>
    <t>REXONA DEO AER AP ACTIVE 90G+20%DESC</t>
  </si>
  <si>
    <t>7891150054233</t>
  </si>
  <si>
    <t>REXONA AER AP POWDER12X90G/150ML+20%DESC</t>
  </si>
  <si>
    <t>7891150054240</t>
  </si>
  <si>
    <t>REXONA M DEO AER ANTIB INV4X3X90G LV+PG-</t>
  </si>
  <si>
    <t>7891150053427</t>
  </si>
  <si>
    <t>REXONA W DEO AER ANTIB INV6X2X90G PR ESP</t>
  </si>
  <si>
    <t>7891150053410</t>
  </si>
  <si>
    <t>REXONA DEO AER AP ANTIBAC 90G LV+PG-</t>
  </si>
  <si>
    <t>7891150048614</t>
  </si>
  <si>
    <t>REXONA AP MEN ANTIBAC INVIS 12X90G/150ML</t>
  </si>
  <si>
    <t>REXONA DEO AER AP BAMBOO 105G+PR ESP</t>
  </si>
  <si>
    <t>7891150042919</t>
  </si>
  <si>
    <t>REXONA DEO AER AP ACTIVE 4X3X90G LV+PG-</t>
  </si>
  <si>
    <t>7891150043060</t>
  </si>
  <si>
    <t>REXONA DEO AER AP S/PERF 12X90G/150ML</t>
  </si>
  <si>
    <t>REXONA AER AP ACTIVE EMOTION12X90G/150ML</t>
  </si>
  <si>
    <t>REXONA DEO AER AP BAMBOO 12X90G/150ML</t>
  </si>
  <si>
    <t>REXONA W AER AP ANTIB PROT 12X90G/150ML</t>
  </si>
  <si>
    <t>7791293032375</t>
  </si>
  <si>
    <t>REXONA W DEO AER AP INVIS 12X90G/150ML</t>
  </si>
  <si>
    <t>REXONA WOMEN AER AP ANTIB FR12X90G/150ML</t>
  </si>
  <si>
    <t>7791293033198</t>
  </si>
  <si>
    <t>REXONA DEO AER AP COTTON DRY12X90G/150ML</t>
  </si>
  <si>
    <t>REXONA DEO AER AP POWDER DRY12X90G/150ML</t>
  </si>
  <si>
    <t>REXONA DEO AER INV WOMEN 6X2X90G PR ESP</t>
  </si>
  <si>
    <t>7891150045729</t>
  </si>
  <si>
    <t>REXONA DEO AER INVISIBLE 12X2X90G PR ES</t>
  </si>
  <si>
    <t>7891150045750</t>
  </si>
  <si>
    <t>REXONA DEO AER POWDER 6X2X90G PR ESP</t>
  </si>
  <si>
    <t>7891150051218</t>
  </si>
  <si>
    <t>REXONA AER ANTIBAC MEN 90G+PR ESP</t>
  </si>
  <si>
    <t>7891150043541</t>
  </si>
  <si>
    <t>REXONA MEN DEO AER AP INV 6X2X90G+PR ESP</t>
  </si>
  <si>
    <t>7891150046054</t>
  </si>
  <si>
    <t>REXONA AER ANTIBAC WOMEN 105G+PR ESP</t>
  </si>
  <si>
    <t>7891150043527</t>
  </si>
  <si>
    <t>REXONA DEO AER AP POWDER 105G+PR ESP</t>
  </si>
  <si>
    <t>7891150042926</t>
  </si>
  <si>
    <t>REXONA DEO AER AP INVI105G 40%DESC</t>
  </si>
  <si>
    <t>7891150046047</t>
  </si>
  <si>
    <t>REXONA MEN DEO AER AP INV</t>
  </si>
  <si>
    <t>7891150044739</t>
  </si>
  <si>
    <t>REXONA DEO AER AP BAMB 12X2X105G+40%DESC</t>
  </si>
  <si>
    <t>7891150042971</t>
  </si>
  <si>
    <t>7891150043053</t>
  </si>
  <si>
    <t>REXONA W AER ANTIBAC 105G+40%DESC</t>
  </si>
  <si>
    <t>7891150043817</t>
  </si>
  <si>
    <t>REXONA AER AP POWDER105G+40%DESC</t>
  </si>
  <si>
    <t>7891150042803</t>
  </si>
  <si>
    <t>REXONA DEO AER AP ACTIVE 6X2X90G+PR ESP</t>
  </si>
  <si>
    <t>7891150043008</t>
  </si>
  <si>
    <t>7891150043015</t>
  </si>
  <si>
    <t>REXONA MEN AER ANTIBAC 90G+40%DESC</t>
  </si>
  <si>
    <t>7891150043824</t>
  </si>
  <si>
    <t>7791293005348</t>
  </si>
  <si>
    <t>7891150018204</t>
  </si>
  <si>
    <t>7791293990576</t>
  </si>
  <si>
    <t>REXONA DEO AER AP COTIVE 12X105G/175ML</t>
  </si>
  <si>
    <t>7791293990569</t>
  </si>
  <si>
    <t>7791293005287</t>
  </si>
  <si>
    <t>7791293004198</t>
  </si>
  <si>
    <t>REXONA DEO AER AP POWDER 105G</t>
  </si>
  <si>
    <t>7791293999470</t>
  </si>
  <si>
    <t>REXONA DEO AER AP CALMING</t>
  </si>
  <si>
    <t>7791293848259</t>
  </si>
  <si>
    <t>7791293017433</t>
  </si>
  <si>
    <t>7791293005270</t>
  </si>
  <si>
    <t>7898422751180</t>
  </si>
  <si>
    <t>7898422751197</t>
  </si>
  <si>
    <t>DEO REXONA CREME REGULAR</t>
  </si>
  <si>
    <t>7891037012653</t>
  </si>
  <si>
    <t>7891150040632</t>
  </si>
  <si>
    <t>7891150040595</t>
  </si>
  <si>
    <t>7891150040618</t>
  </si>
  <si>
    <t>7891150040649</t>
  </si>
  <si>
    <t>7891150040601</t>
  </si>
  <si>
    <t>REXONA DEO AER AP ANTIBAC8X3X105G+PR ESP</t>
  </si>
  <si>
    <t>7891150040625</t>
  </si>
  <si>
    <t>7891150039667</t>
  </si>
  <si>
    <t>7891150039674</t>
  </si>
  <si>
    <t>7891150039636</t>
  </si>
  <si>
    <t>7891150039698</t>
  </si>
  <si>
    <t>REXONA DEO AER AP ACTIVE12X2X90G 40%DESC</t>
  </si>
  <si>
    <t>7891150039643</t>
  </si>
  <si>
    <t>7891150039650</t>
  </si>
  <si>
    <t>7891150037816</t>
  </si>
  <si>
    <t>7891150037809</t>
  </si>
  <si>
    <t>7891150024489</t>
  </si>
  <si>
    <t>REXONA AER AP ANTIBAC 175ML/105G</t>
  </si>
  <si>
    <t>7791293025544</t>
  </si>
  <si>
    <t>REXONA DEO AER AP ANTIBAC 90G/150ML</t>
  </si>
  <si>
    <t>7891150019768</t>
  </si>
  <si>
    <t>REXONA DEO AER AP ACTIVE 90G</t>
  </si>
  <si>
    <t>REXONA DEO AER AP SPORTFAN 12X90G/150ML</t>
  </si>
  <si>
    <t>7791293022543</t>
  </si>
  <si>
    <t>REXONA DEO AER AP XTRACOOL 90G</t>
  </si>
  <si>
    <t>REXONA DEO AER AP SENSITIVE 12X90G/150ML</t>
  </si>
  <si>
    <t>7791293022536</t>
  </si>
  <si>
    <t>REXONA DEO AER AP V8 90G</t>
  </si>
  <si>
    <t>REXONA DEO AER AP SUPERHERO 12X90G/150ML</t>
  </si>
  <si>
    <t>7791293022550</t>
  </si>
  <si>
    <t>REXONA DEO AER AP QUANTUM 90G</t>
  </si>
  <si>
    <t>7791293022529</t>
  </si>
  <si>
    <t>REXONA DEO AER AP INVISIBLE</t>
  </si>
  <si>
    <t>7891150024496</t>
  </si>
  <si>
    <t>REXONA DEO AER AP FANATICS 90G/150ML</t>
  </si>
  <si>
    <t>7791293023175</t>
  </si>
  <si>
    <t>7891150033733</t>
  </si>
  <si>
    <t>REXONA DEO AER APACT12X2X90G PRM 50%DESC</t>
  </si>
  <si>
    <t>7891150033702</t>
  </si>
  <si>
    <t>REXONA DEO AERO AP S PODER 12X91G/150ML</t>
  </si>
  <si>
    <t>7891150071261</t>
  </si>
  <si>
    <t>REXONA DEO AERO AP V MALAND 12X91G/150ML</t>
  </si>
  <si>
    <t>7891150071278</t>
  </si>
  <si>
    <t>REXONA DEO AERO AP BANG 12X91G/150ML</t>
  </si>
  <si>
    <t>7891150071254</t>
  </si>
  <si>
    <t>REXONA DEO AER AP V8 3X4X90G</t>
  </si>
  <si>
    <t>7891150069565</t>
  </si>
  <si>
    <t>REXONA MEN DEO AER AP INVIS 3X4X90G</t>
  </si>
  <si>
    <t>7891150069572</t>
  </si>
  <si>
    <t>REXONA DEO AER AP ACTIVE 3X4X90G</t>
  </si>
  <si>
    <t>7891150069473</t>
  </si>
  <si>
    <t>REXONA W DEO AER AP INVIS 3X4X90G</t>
  </si>
  <si>
    <t>7891150069510</t>
  </si>
  <si>
    <t>REXONA DEO AER AP F VERM 3X4X90G</t>
  </si>
  <si>
    <t>7891150069480</t>
  </si>
  <si>
    <t>REXONA DEO AER AP BAMBOO 3X4X90G</t>
  </si>
  <si>
    <t>7891150069503</t>
  </si>
  <si>
    <t>7891150061835</t>
  </si>
  <si>
    <t>REXONA DEO AER AP POWDER DRY3X4X90G</t>
  </si>
  <si>
    <t>7891150069442</t>
  </si>
  <si>
    <t>REXONA DEO AER AP COTTON DRY3X4X90G</t>
  </si>
  <si>
    <t>7891150069541</t>
  </si>
  <si>
    <t>7891150061798</t>
  </si>
  <si>
    <t>7891150081949</t>
  </si>
  <si>
    <t>REXONA DEO ROL POWDER 15X2X50ML PR ESP</t>
  </si>
  <si>
    <t>7891150099777</t>
  </si>
  <si>
    <t>REXONA DEO ROL V8 15X2X50ML PR ESP</t>
  </si>
  <si>
    <t>7891150099807</t>
  </si>
  <si>
    <t>7891150105454</t>
  </si>
  <si>
    <t>REXONA M DEO ROL V8 15X2X50ML PR ESP</t>
  </si>
  <si>
    <t>7891150105461</t>
  </si>
  <si>
    <t>7891150035805</t>
  </si>
  <si>
    <t>7891150035720</t>
  </si>
  <si>
    <t>REXONA DEO MEN ROLLON FANATICS 12X50ML</t>
  </si>
  <si>
    <t>78933361</t>
  </si>
  <si>
    <t>7891150035744</t>
  </si>
  <si>
    <t>7891150035737</t>
  </si>
  <si>
    <t>REXONA DEO ROL MEN ANTIBAC12X50ML</t>
  </si>
  <si>
    <t>78934139</t>
  </si>
  <si>
    <t>REXONA DEO ROL WOMEN ANTIBAC 50ML</t>
  </si>
  <si>
    <t>78934146</t>
  </si>
  <si>
    <t>7891150040731</t>
  </si>
  <si>
    <t>7891150040670</t>
  </si>
  <si>
    <t>7891150040700</t>
  </si>
  <si>
    <t>7891150040687</t>
  </si>
  <si>
    <t>7891150040717</t>
  </si>
  <si>
    <t>7891150040724</t>
  </si>
  <si>
    <t>7891150008199</t>
  </si>
  <si>
    <t>REXONA DEO ROLLON EXTRA FRESH 12X50ML</t>
  </si>
  <si>
    <t>78929371</t>
  </si>
  <si>
    <t>REXONA DEO ROLLON INVISIBLE 50ML</t>
  </si>
  <si>
    <t>REXONA DEO ROLLON POWDER 12X50ML</t>
  </si>
  <si>
    <t>REXONA DEO ROLLON EBONY 12X50ML</t>
  </si>
  <si>
    <t>78924581</t>
  </si>
  <si>
    <t>REXONA DEO ROLLON COTTON 12X50ML</t>
  </si>
  <si>
    <t>REXONA DEO ROLLON ACTIVE 12X50ML</t>
  </si>
  <si>
    <t>REXONA DEO ROLLON SENSITIVE</t>
  </si>
  <si>
    <t>78923423</t>
  </si>
  <si>
    <t>REXONA DEO ROLLON XTRA COOL 12X50ML</t>
  </si>
  <si>
    <t>REXONA DEO ROL BAMBOO E ALOE VERA12X50ML</t>
  </si>
  <si>
    <t>78927216</t>
  </si>
  <si>
    <t>REXONA DEO ROLLON SPORTFAN 12X50ML</t>
  </si>
  <si>
    <t>78924895</t>
  </si>
  <si>
    <t>REXONA DEO ROLLON S/PERF 12X50ML</t>
  </si>
  <si>
    <t>REXONA DEO ROLLON SUPERHERO 12X50ML</t>
  </si>
  <si>
    <t>78928862</t>
  </si>
  <si>
    <t>REXONA DEO ROLLON NUTRITIVE</t>
  </si>
  <si>
    <t>78923355</t>
  </si>
  <si>
    <t>REXONA DEO ROL CRYSTAL 50ML</t>
  </si>
  <si>
    <t>78924321</t>
  </si>
  <si>
    <t>REXONA MEN DEO ROL ANTIBAC FRESH 12X50ML</t>
  </si>
  <si>
    <t>75055714</t>
  </si>
  <si>
    <t>REXONA WOM DEO ROL ANTIBAC FRESH 12X50ML</t>
  </si>
  <si>
    <t>75055738</t>
  </si>
  <si>
    <t>REXONA DEO ROL WOMEN ANTIBAC INV 12X50ML</t>
  </si>
  <si>
    <t>REXONA MEN DEO ROL AP S/PERF 12X50ML</t>
  </si>
  <si>
    <t>REXONA DEO ROLLON POWDER15X2X50ML PR ESP</t>
  </si>
  <si>
    <t>7891150061354</t>
  </si>
  <si>
    <t>REXONA DEO ROLLON V8 15X2X50ML PR ESP</t>
  </si>
  <si>
    <t>7891150061361</t>
  </si>
  <si>
    <t>SUAVE DEO AER AP XERO DAN 12X200ML</t>
  </si>
  <si>
    <t>7891150087415</t>
  </si>
  <si>
    <t>SUAVE DEO AER AP HIDRATACAO12X200ML</t>
  </si>
  <si>
    <t>7891150087392</t>
  </si>
  <si>
    <t>SUAVE DEO AER AP LAVANDA 12X200ML</t>
  </si>
  <si>
    <t>7891150087361</t>
  </si>
  <si>
    <t>SUAVE MEN DEO AER AP P INT12X200ML</t>
  </si>
  <si>
    <t>7891150087446</t>
  </si>
  <si>
    <t>SUAVE DEO AER AP FRUT VER 12X200ML</t>
  </si>
  <si>
    <t>7891150087385</t>
  </si>
  <si>
    <t>SUAVE MEN AER AP SPORT FRES12X116G/200ML</t>
  </si>
  <si>
    <t>7891150070356</t>
  </si>
  <si>
    <t>SUAVE AER AP INVISIBLE 12X117G/200ML</t>
  </si>
  <si>
    <t>7891150070370</t>
  </si>
  <si>
    <t>SUAVE MEN AER AP INVISIBLE 12X117G/200ML</t>
  </si>
  <si>
    <t>7891150070363</t>
  </si>
  <si>
    <t>SUAVE AER AP JASMIN E COCO 12X116G/200ML</t>
  </si>
  <si>
    <t>7891150070394</t>
  </si>
  <si>
    <t>DOVE BABY SAB LIQ HORA DE DORMIR12X200ML</t>
  </si>
  <si>
    <t>7891150074491</t>
  </si>
  <si>
    <t>DOVE BABY SAB LIQ HID GLICERINAD12X200ML</t>
  </si>
  <si>
    <t>7891150065291</t>
  </si>
  <si>
    <t>DOVE BABY SAB LIQ HID ENRIQUEC 12X200ML</t>
  </si>
  <si>
    <t>7891150025981</t>
  </si>
  <si>
    <t>SL DOVE BABY HIDRAT SENSÍVEL</t>
  </si>
  <si>
    <t>7891150025967</t>
  </si>
  <si>
    <t>DOVE BABY SAB LIQ HID SENS RFL 12X180ML</t>
  </si>
  <si>
    <t>7891150035881</t>
  </si>
  <si>
    <t>DOVE BABY SAB LIQ HID ENRIQ RFL 12X180ML</t>
  </si>
  <si>
    <t>7891150035874</t>
  </si>
  <si>
    <t>DOVE BABY SAB LIQ HID GLIC RFL 12X180ML</t>
  </si>
  <si>
    <t>7891150065338</t>
  </si>
  <si>
    <t>DOVE BABY SAB LIQ H D DORMIR 12X180ML NE</t>
  </si>
  <si>
    <t>7891150079229</t>
  </si>
  <si>
    <t>DOVE SAB CUIDA PROTEGE 6X8X90G</t>
  </si>
  <si>
    <t>7891150077522</t>
  </si>
  <si>
    <t>DOVE SAB CUIDA PROTEGE 8X6X90G</t>
  </si>
  <si>
    <t>DOVE SAB LEITE DE COCO 8X6X90G</t>
  </si>
  <si>
    <t>7891150072916</t>
  </si>
  <si>
    <t>7891150075382</t>
  </si>
  <si>
    <t>DOVE SAB MICELAR ANTI STRESS 8X6X90G</t>
  </si>
  <si>
    <t>7891150069404</t>
  </si>
  <si>
    <t>DOVE SAB ERVA DOCE 8X6X90G</t>
  </si>
  <si>
    <t>DOVE SAB ERVA DOCE 48X90G</t>
  </si>
  <si>
    <t>DOVE SAB ORIGINAL 12X4X90G</t>
  </si>
  <si>
    <t>7891150097810</t>
  </si>
  <si>
    <t>DOVE SAB PELE SENSIVEL 6X8X90GR</t>
  </si>
  <si>
    <t>7891150095625</t>
  </si>
  <si>
    <t>DOVE SAB KARITE 6X8X90G</t>
  </si>
  <si>
    <t>7891150096127</t>
  </si>
  <si>
    <t>DOVE SAB PELE RADIANTE 48X90G</t>
  </si>
  <si>
    <t>7891150099951</t>
  </si>
  <si>
    <t>DOVE SAB CUIDADO REVITALIZANTE 48X90G</t>
  </si>
  <si>
    <t>7891150099944</t>
  </si>
  <si>
    <t>DOVE SAB EQUILIBRIO OLEOSIDADE 48X90G</t>
  </si>
  <si>
    <t>7891150064201</t>
  </si>
  <si>
    <t>DOVE SAB RITUAL ENERGIZANTE 48X90G</t>
  </si>
  <si>
    <t>7891150064980</t>
  </si>
  <si>
    <t>DOVE SAB MICELAR ANTI STRESS 48X90G</t>
  </si>
  <si>
    <t>7891150057470</t>
  </si>
  <si>
    <t>DOVE SAB BRANCO 4X12X90G LV+PG-</t>
  </si>
  <si>
    <t>7891150052468</t>
  </si>
  <si>
    <t>DOVE SAB BRANCO 6X8X90G</t>
  </si>
  <si>
    <t>7891150046559</t>
  </si>
  <si>
    <t>DOVE SAB KAR E BAUNILHA 4X12X90G LV+PG-</t>
  </si>
  <si>
    <t>7891150052451</t>
  </si>
  <si>
    <t>DOVE SAB OLEO DE ARGAN 48X90G</t>
  </si>
  <si>
    <t>7891150052437</t>
  </si>
  <si>
    <t>DOVE SAB KARITE E BAUNILHA 16X3X90G</t>
  </si>
  <si>
    <t>7891150046528</t>
  </si>
  <si>
    <t>DOVE SAB BRANCO 16X3X90G</t>
  </si>
  <si>
    <t>7891150046481</t>
  </si>
  <si>
    <t>DOVE SAB KARITE E BAUNILHA 24X2X90G</t>
  </si>
  <si>
    <t>7891150046474</t>
  </si>
  <si>
    <t>DOVE SAB REVIGORANTE 48X90G</t>
  </si>
  <si>
    <t>7891150043923</t>
  </si>
  <si>
    <t>DOVE SAB BRANCO 24X2X90G LV+PG-</t>
  </si>
  <si>
    <t>7891150046450</t>
  </si>
  <si>
    <t>DOVE SAB KAR E BAUNILHA4X12X90G LV12PG10</t>
  </si>
  <si>
    <t>7891150046566</t>
  </si>
  <si>
    <t>DOVE SAB BRANCO 24X2X90G</t>
  </si>
  <si>
    <t>7891150046467</t>
  </si>
  <si>
    <t>DOVE SAB BRANCO 4X12X90G LV12PG11</t>
  </si>
  <si>
    <t>7891150046573</t>
  </si>
  <si>
    <t>DOVE SAB CR LEITE FLOR PEONIA 490G</t>
  </si>
  <si>
    <t>7891150041837</t>
  </si>
  <si>
    <t>DOVE SAB KARITE E BAUNILHA 8X6X90G</t>
  </si>
  <si>
    <t>DOVE SAB BRANCO 8X6X90G</t>
  </si>
  <si>
    <t>DOVE SAB CR LEIT FLOR PEONIA12X4X90G PRM</t>
  </si>
  <si>
    <t>7891150044333</t>
  </si>
  <si>
    <t>DOVE SAB REVITALIZANTE 12X4X90G+PR ESP</t>
  </si>
  <si>
    <t>7891150041035</t>
  </si>
  <si>
    <t>DOVE SAB REVITALIZANTE 48X90G</t>
  </si>
  <si>
    <t>7891150039155</t>
  </si>
  <si>
    <t>DOVE SAB KAR E BAUN 90G PRM 10</t>
  </si>
  <si>
    <t>7891150035300</t>
  </si>
  <si>
    <t>7891150031180</t>
  </si>
  <si>
    <t>7891150035355</t>
  </si>
  <si>
    <t>7891150035263</t>
  </si>
  <si>
    <t>DOVE SAB LEITE COCO 90G+PR ESP</t>
  </si>
  <si>
    <t>7891150035331</t>
  </si>
  <si>
    <t>DOVE SAB GO FRESH REEQ 12X4X90G PRM</t>
  </si>
  <si>
    <t>7891150035294</t>
  </si>
  <si>
    <t>DOVE SAB PIST FLOR DE MAG 48X90G</t>
  </si>
  <si>
    <t>7891150039551</t>
  </si>
  <si>
    <t>7891150036802</t>
  </si>
  <si>
    <t>7891150040861</t>
  </si>
  <si>
    <t>DOVE SAB GO FRESH REEQUILIBRIO 490G</t>
  </si>
  <si>
    <t>7891150028647</t>
  </si>
  <si>
    <t>DOVE SAB KARITE BAUNILHA 90G PRM 5</t>
  </si>
  <si>
    <t>7891150026957</t>
  </si>
  <si>
    <t>DOVE SAB BCO 90G PRM PR ESP</t>
  </si>
  <si>
    <t>7891150028098</t>
  </si>
  <si>
    <t>DOVE SAB KARITE E BAUNILHA</t>
  </si>
  <si>
    <t>7891150031517</t>
  </si>
  <si>
    <t>DOVE SAB KARITE E BAUN 90G+PR ESP</t>
  </si>
  <si>
    <t>7891150028074</t>
  </si>
  <si>
    <t>7891150031197</t>
  </si>
  <si>
    <t>DOVE SAB REG 90G PRM 11</t>
  </si>
  <si>
    <t>7891150027008</t>
  </si>
  <si>
    <t>DOVE SAB CR AMENDOAS 48X90G</t>
  </si>
  <si>
    <t>7891150034068</t>
  </si>
  <si>
    <t>DOVE SAB LEITE DE COCO 48X90G</t>
  </si>
  <si>
    <t>7891150034075</t>
  </si>
  <si>
    <t>DOVE SAB ESFOLIANTE BRANCO 490G</t>
  </si>
  <si>
    <t>7898422746827</t>
  </si>
  <si>
    <t>DOVE MEN+CARE SAB EXTRA FRESH 48X90G</t>
  </si>
  <si>
    <t>7891150006072</t>
  </si>
  <si>
    <t>DOVE MEN+CARE SAB CLEAN COMFORT 48X90G</t>
  </si>
  <si>
    <t>7891150006058</t>
  </si>
  <si>
    <t>DOVE SAB BRANCO 490G</t>
  </si>
  <si>
    <t>DOVE SAB HIDRATACAO FRESCA 490G</t>
  </si>
  <si>
    <t>7898422746803</t>
  </si>
  <si>
    <t>DOVE SAB REGULAR 90G PRM 5</t>
  </si>
  <si>
    <t>7891150016910</t>
  </si>
  <si>
    <t>DOVE SAB KAR E BAUNILHA 490G</t>
  </si>
  <si>
    <t>LUX SAB TENTACAO FLORAL 108X85G</t>
  </si>
  <si>
    <t>7891150043619</t>
  </si>
  <si>
    <t>LUX SAB LIRIO AZUL 108X85G</t>
  </si>
  <si>
    <t>7891150059917</t>
  </si>
  <si>
    <t>LUX SAB FLOR DE VERBENA 108X85G</t>
  </si>
  <si>
    <t>7891150059856</t>
  </si>
  <si>
    <t>LUX SAB FLOR DE LOTUS 108X85G</t>
  </si>
  <si>
    <t>7891150059924</t>
  </si>
  <si>
    <t>LUX SAB GARDENIA E OLEO DE AMEND 108X85G</t>
  </si>
  <si>
    <t>7891150095304</t>
  </si>
  <si>
    <t>LUX SAB CAPIM LIMAO FRANGIPANI 108X85G</t>
  </si>
  <si>
    <t>7891150069602</t>
  </si>
  <si>
    <t>REXONA MEN SAB ANT LIMP PROF 108X84G</t>
  </si>
  <si>
    <t>7891150068902</t>
  </si>
  <si>
    <t>REXONA SAB ANTIB MVIT 108X84G</t>
  </si>
  <si>
    <t>7891150083288</t>
  </si>
  <si>
    <t>REXONA SAB ANTIB MVIT 18X6X84G</t>
  </si>
  <si>
    <t>7891150083240</t>
  </si>
  <si>
    <t>REXONA SAB ANTIBAC E DOCE 108X84G</t>
  </si>
  <si>
    <t>7891150083264</t>
  </si>
  <si>
    <t>REXONA SAB ANTIBAC F VERM 108X84G</t>
  </si>
  <si>
    <t>7891150083271</t>
  </si>
  <si>
    <t>REXONA MEN SAB TORCEDOR FANATICO 108X84G</t>
  </si>
  <si>
    <t>7891150057289</t>
  </si>
  <si>
    <t>REXONA MEN SAB TORCEDOR FANATICO36X3X84G</t>
  </si>
  <si>
    <t>7891150057388</t>
  </si>
  <si>
    <t>REXONA SAB ANTIBAC FRESH 36X3X84G</t>
  </si>
  <si>
    <t>7891150046368</t>
  </si>
  <si>
    <t>REXONA SAB BAMBOO FRESH 36X3X84G</t>
  </si>
  <si>
    <t>7891150046375</t>
  </si>
  <si>
    <t>REXONA SAB ANTIBACTERIAL ALOE 36X3X84G</t>
  </si>
  <si>
    <t>7891150061897</t>
  </si>
  <si>
    <t>REXONA SAB ANTIBACTERIAL ALOE 108X84G</t>
  </si>
  <si>
    <t>7891150061859</t>
  </si>
  <si>
    <t>REXONA SAB ANT LIMP PROF 108X84G</t>
  </si>
  <si>
    <t>7891150066908</t>
  </si>
  <si>
    <t>REXONA SAB ANTIB LIMPEZA PROF 18X6X84G</t>
  </si>
  <si>
    <t>7891150068551</t>
  </si>
  <si>
    <t>REXONA SAB ANTIBACTERIAL FRESH 18X6X84G</t>
  </si>
  <si>
    <t>7891150067172</t>
  </si>
  <si>
    <t>REXONA SAB ANTIBACTERIAL BAMBOO 18X6X84G</t>
  </si>
  <si>
    <t>7891150067165</t>
  </si>
  <si>
    <t>REXONA SAB ANTIBAC+BAMB PRM</t>
  </si>
  <si>
    <t>7891150044913</t>
  </si>
  <si>
    <t>REXONA SAB ACTIVE 84G</t>
  </si>
  <si>
    <t>7891150024779</t>
  </si>
  <si>
    <t>REXONA SAB BAMBOO FRESH 84G</t>
  </si>
  <si>
    <t>7891150024816</t>
  </si>
  <si>
    <t>REXONA SAB SENSIBLE FRESH 108X84G</t>
  </si>
  <si>
    <t>7891150024786</t>
  </si>
  <si>
    <t>REXONA SAB ORCHID FRESH 84G</t>
  </si>
  <si>
    <t>7891150024793</t>
  </si>
  <si>
    <t>REXONA SAB COTTON FRESH 84G</t>
  </si>
  <si>
    <t>7891150024809</t>
  </si>
  <si>
    <t>REXONA SAB SPORT 84G</t>
  </si>
  <si>
    <t>7891150024823</t>
  </si>
  <si>
    <t>ST REXONA</t>
  </si>
  <si>
    <t>7891150036123</t>
  </si>
  <si>
    <t>REXONA SAB ANTIBAC 84G</t>
  </si>
  <si>
    <t>7891150034952</t>
  </si>
  <si>
    <t>DOVE SAB LIQ COCO 12X250ML</t>
  </si>
  <si>
    <t>7891150029309</t>
  </si>
  <si>
    <t>DOVE SAB LIQ KARITE 12X250ML</t>
  </si>
  <si>
    <t>DOVE SAB LIQ AMENDOAS 12X250ML</t>
  </si>
  <si>
    <t>7891150029286</t>
  </si>
  <si>
    <t>DOVE SHOWER PELE SENSIVEL 250ML</t>
  </si>
  <si>
    <t>7891150013896</t>
  </si>
  <si>
    <t>DOVE SHOWER ESFOLIACAO SUAVE 250ML</t>
  </si>
  <si>
    <t>7891150013919</t>
  </si>
  <si>
    <t>DOVE SHOWER NUTRICAO PROFUNDA 250ML</t>
  </si>
  <si>
    <t>7898422751746</t>
  </si>
  <si>
    <t>7898422751753</t>
  </si>
  <si>
    <t>DOVE SAB LIQ CREME LEITE PEONIA 12X250ML</t>
  </si>
  <si>
    <t>7891150041967</t>
  </si>
  <si>
    <t>DOVE SAB LIQ REVIGORANTE 12X250ML</t>
  </si>
  <si>
    <t>7891150043879</t>
  </si>
  <si>
    <t>7891150040663</t>
  </si>
  <si>
    <t>DOVE SAB LIQ REVITALIZANTE 12X250ML</t>
  </si>
  <si>
    <t>7891150039148</t>
  </si>
  <si>
    <t>DOVE SAB LIQ MICE DETOX PURIFIC 12X250ML</t>
  </si>
  <si>
    <t>7891150067448</t>
  </si>
  <si>
    <t>DOVE SAB LIQ MICELAR ANTI STRESS12X250ML</t>
  </si>
  <si>
    <t>7891150057487</t>
  </si>
  <si>
    <t>DOVE SHOW NUTRICAO PROFUNDA 12X250ML</t>
  </si>
  <si>
    <t>DOVE SAB LIQ OLEO ARGAN 12X250ML</t>
  </si>
  <si>
    <t>7891150052444</t>
  </si>
  <si>
    <t>DOVE SAB LIQ KARITE 15X250ML+RFL 220ML</t>
  </si>
  <si>
    <t>7891150053021</t>
  </si>
  <si>
    <t>DOVE SAB LIQ NUTR PROF15X250ML+RFL 220ML</t>
  </si>
  <si>
    <t>7891150053014</t>
  </si>
  <si>
    <t>DOVE SAB LIQ PROTEGE CUIDA 12X250ML</t>
  </si>
  <si>
    <t>7891150075405</t>
  </si>
  <si>
    <t>LUX SAB LIQ CAPIM LIM FRANG12X250ML</t>
  </si>
  <si>
    <t>7891150069626</t>
  </si>
  <si>
    <t>LUX SAB LIQ FLOR DE VERBENA 12X250ML</t>
  </si>
  <si>
    <t>7891150060180</t>
  </si>
  <si>
    <t>LUX SAB LIQ FLOR DE LOTUS 12X250ML</t>
  </si>
  <si>
    <t>7891150060203</t>
  </si>
  <si>
    <t>LUX SAB LIQ LAVANDA 12X250ML</t>
  </si>
  <si>
    <t>7891150060159</t>
  </si>
  <si>
    <t>LUX SAB LIQ BUQUE DE JASMIM 12X250ML</t>
  </si>
  <si>
    <t>7891150060166</t>
  </si>
  <si>
    <t>LUX SAB LIQ TENTACAO FLORAL 12X250ML</t>
  </si>
  <si>
    <t>7891150043626</t>
  </si>
  <si>
    <t>SAB LIQ LUX 250ML</t>
  </si>
  <si>
    <t>7898422749286</t>
  </si>
  <si>
    <t>LUX SAB LIQ FRESCOR IRRES 12X250ML</t>
  </si>
  <si>
    <t>7891150032255</t>
  </si>
  <si>
    <t>LUX SAB LIQ BRISA FLORAL 12X250ML</t>
  </si>
  <si>
    <t>7891150032224</t>
  </si>
  <si>
    <t>LUX SAB LIQ TOQUE DE BAUNILHA 12X250ML</t>
  </si>
  <si>
    <t>7891150032323</t>
  </si>
  <si>
    <t>LUX SAB LIQ BUQUE SONHOS 12X250ML</t>
  </si>
  <si>
    <t>7891150032248</t>
  </si>
  <si>
    <t>LUX SAB LIQ PRAZER TROPICAL</t>
  </si>
  <si>
    <t>7891150032286</t>
  </si>
  <si>
    <t>LUX SAB LIQ SUAVIDADE PETALAS 12X250ML</t>
  </si>
  <si>
    <t>7891150032316</t>
  </si>
  <si>
    <t>LUX SAB LIQ BW MAGICAL SPELL 12X250ML</t>
  </si>
  <si>
    <t>7891150032279</t>
  </si>
  <si>
    <t>LUX SAB LIQ SECRET BLISS 250ML</t>
  </si>
  <si>
    <t>7891150032293</t>
  </si>
  <si>
    <t>STL LUX M SPELL + ESPJ</t>
  </si>
  <si>
    <t>7891150040939</t>
  </si>
  <si>
    <t>LUX SAB LIQ BUQUE DOS SONHOS 12X220ML</t>
  </si>
  <si>
    <t>7891150029736</t>
  </si>
  <si>
    <t>LUX SAB LIQ SUAV DAS PETALAS 12X220ML</t>
  </si>
  <si>
    <t>7891150029729</t>
  </si>
  <si>
    <t>LUX SAB LIQ BRISA DE LAVANDA 220ML</t>
  </si>
  <si>
    <t>7891150029750</t>
  </si>
  <si>
    <t>LUX SAB LIQ BRISA FLORAL 220ML</t>
  </si>
  <si>
    <t>7891150029743</t>
  </si>
  <si>
    <t>LUX SAB LIQ REF TENTACAO FLORAL 220ML</t>
  </si>
  <si>
    <t>7891150044326</t>
  </si>
  <si>
    <t>LUX JAB MAGICAL SPELL REF 12X220ML</t>
  </si>
  <si>
    <t>7891150039223</t>
  </si>
  <si>
    <t>LUX BUQUE SONHOS 220ML+PUMP VID</t>
  </si>
  <si>
    <t>7891150041141</t>
  </si>
  <si>
    <t>LUX SAB LIQ FLOR DE VERBENA 12X200ML</t>
  </si>
  <si>
    <t>7891150060258</t>
  </si>
  <si>
    <t>LUX SAB LIQ LAVANDA 12X200ML</t>
  </si>
  <si>
    <t>7891150060227</t>
  </si>
  <si>
    <t>LUX SAB LIQ FLOR DE LOTUS 12X200ML</t>
  </si>
  <si>
    <t>7891150060265</t>
  </si>
  <si>
    <t>LUX SAB LIQ BUQ DOS SONH220ML PR ESP</t>
  </si>
  <si>
    <t>7891150053397</t>
  </si>
  <si>
    <t>LUX SAB LIQ SUAV PETALAS6X3X220ML PR ESP</t>
  </si>
  <si>
    <t>7891150053380</t>
  </si>
  <si>
    <t>LUX SAB LIQ CAPIM LIM FRAN 12X200ML NE</t>
  </si>
  <si>
    <t>7891150069589</t>
  </si>
  <si>
    <t>LUX SAB LIQ GA E OLEO D AME RFL 12X200ML</t>
  </si>
  <si>
    <t>7891150095328</t>
  </si>
  <si>
    <t>DOVE CO CACHOS+BIOTINA 12X370ML</t>
  </si>
  <si>
    <t>7891150102415</t>
  </si>
  <si>
    <t>SEDA CO FORÇA E CRESC 12X250ML</t>
  </si>
  <si>
    <t>7891150103917</t>
  </si>
  <si>
    <t>SEDA CO ONDAS ANTI FRIZZ 12X325ML</t>
  </si>
  <si>
    <t>7891150074019</t>
  </si>
  <si>
    <t>SEDA CO JOIAS MANDACARU E CAJA 12X325ML</t>
  </si>
  <si>
    <t>7891150078314</t>
  </si>
  <si>
    <t>SEDA CO JOIAS MAMONA E CAFE 12X325ML</t>
  </si>
  <si>
    <t>7891150078338</t>
  </si>
  <si>
    <t>SEDA CO SOS CERAMIDAS 12X325ML LV+PG-</t>
  </si>
  <si>
    <t>7891150078949</t>
  </si>
  <si>
    <t>SEDA CO JOIAS BABOSA OLEO COCO 12X325ML</t>
  </si>
  <si>
    <t>7891150078307</t>
  </si>
  <si>
    <t>SEDA CO CACHOS DEFINIDOS 12X325ML LV+PG-</t>
  </si>
  <si>
    <t>7891150078932</t>
  </si>
  <si>
    <t>SEDA CO COLAGENO E VIT C 12X325ML</t>
  </si>
  <si>
    <t>7891150080096</t>
  </si>
  <si>
    <t>SEDA CO JUNTIN TDS TIPOS CAB 12X300ML</t>
  </si>
  <si>
    <t>7891150083608</t>
  </si>
  <si>
    <t>SEDA CO JUNTINHOS CRESPOS 12X300ML</t>
  </si>
  <si>
    <t>7891150083622</t>
  </si>
  <si>
    <t>SEDA CO JUNTINHOS CACHOS 12X300ML</t>
  </si>
  <si>
    <t>7891150083615</t>
  </si>
  <si>
    <t>SEDA CO BOOM HIDRATACAO PRO CUR 12X300ML</t>
  </si>
  <si>
    <t>7891150088504</t>
  </si>
  <si>
    <t>SEDA CO PREBIO+BIOTN 12X325ML</t>
  </si>
  <si>
    <t>7891150091429</t>
  </si>
  <si>
    <t>SEDA CO BOMBA ARGAN 12X325ML</t>
  </si>
  <si>
    <t>7891150056589</t>
  </si>
  <si>
    <t>SEDA CO REVIT BABOSA 12X325ML</t>
  </si>
  <si>
    <t>7891150060722</t>
  </si>
  <si>
    <t>SEDA CO HIDRATACAO MICELAR12X325ML</t>
  </si>
  <si>
    <t>7891150063457</t>
  </si>
  <si>
    <t>SEDA CO BIOTINA E OLEO DE RICINO12X325ML</t>
  </si>
  <si>
    <t>7891150070295</t>
  </si>
  <si>
    <t>SEDA CO BOMBA COCO 12X325ML</t>
  </si>
  <si>
    <t>7891150067516</t>
  </si>
  <si>
    <t>SEDA CO BRILHO E MOVIMENTO 12X325ML</t>
  </si>
  <si>
    <t>7891150042780</t>
  </si>
  <si>
    <t>SEDA CO HIDRATACAO BAIXO POO 12X325ML</t>
  </si>
  <si>
    <t>7891150043206</t>
  </si>
  <si>
    <t>SEDA CO SOS QUEDA</t>
  </si>
  <si>
    <t>7891150037243</t>
  </si>
  <si>
    <t>SEDA CO POS ALIS QUIMICO 12X325ML</t>
  </si>
  <si>
    <t>7891150037380</t>
  </si>
  <si>
    <t>SEDA CO KERAFORCE QUIMICA 12X325ML</t>
  </si>
  <si>
    <t>7891150037625</t>
  </si>
  <si>
    <t>SEDA CO KERAFORCE 12X325ML</t>
  </si>
  <si>
    <t>7891150037618</t>
  </si>
  <si>
    <t>SEDA CO SOS R ESTR 12X325ML</t>
  </si>
  <si>
    <t>7891150037427</t>
  </si>
  <si>
    <t>SEDA CO CRESCIMENTO SAUDAVEL 12X325ML</t>
  </si>
  <si>
    <t>7891150037274</t>
  </si>
  <si>
    <t>SEDA CO PUREZA DETOX 12X325ML</t>
  </si>
  <si>
    <t>7891150037403</t>
  </si>
  <si>
    <t>SEDA CO CERAMIDAS 12X325ML</t>
  </si>
  <si>
    <t>SEDA CO PRETOS LUMINOSOS 12X325ML</t>
  </si>
  <si>
    <t>7891150037342</t>
  </si>
  <si>
    <t>SEDA CO BRILHO GLOSS 325ML</t>
  </si>
  <si>
    <t>7891150037236</t>
  </si>
  <si>
    <t>SEDA CO HIDRATACAO ANTI NOS 12X325ML</t>
  </si>
  <si>
    <t>7891150037489</t>
  </si>
  <si>
    <t>SEDA CO MEL ANTIQUEBRA 12X325ML</t>
  </si>
  <si>
    <t>7891150037441</t>
  </si>
  <si>
    <t>SEDA CO LISO EXTREMO 12X325ML</t>
  </si>
  <si>
    <t>7891150037632</t>
  </si>
  <si>
    <t>CO SEDA OLEO HIDRATAÇÃO</t>
  </si>
  <si>
    <t>7891150037366</t>
  </si>
  <si>
    <t>SEDA CO BOMBA DE NUTRICAO 12X325ML</t>
  </si>
  <si>
    <t>7891150049604</t>
  </si>
  <si>
    <t>SEDA CO OLEO HIDRATACAO 12X350ML</t>
  </si>
  <si>
    <t>7891150030749</t>
  </si>
  <si>
    <t>SEDA CO FORCA ANTIQUEBRA 12X350ML</t>
  </si>
  <si>
    <t>7891150034471</t>
  </si>
  <si>
    <t>SEDA CO HIDRATACAO ANTI NOS 350ML NE</t>
  </si>
  <si>
    <t>7891150034464</t>
  </si>
  <si>
    <t>SEDA CO SOS CERAMIDAS 12X350ML</t>
  </si>
  <si>
    <t>7891037145351</t>
  </si>
  <si>
    <t>SEDA CO PUREZA REFRESCANTE 350ML NE</t>
  </si>
  <si>
    <t>7891037009585</t>
  </si>
  <si>
    <t>SEDA CO POS ALIS QUIMICO 350ML NE</t>
  </si>
  <si>
    <t>7891150015241</t>
  </si>
  <si>
    <t>SEDA CO PRO COLOR 350ML NE</t>
  </si>
  <si>
    <t>7891150015012</t>
  </si>
  <si>
    <t>SEDA CO SOS QUEDA 350ML NE</t>
  </si>
  <si>
    <t>7898422745585</t>
  </si>
  <si>
    <t>SEDA CO LISO PERFEITO 350ML NE</t>
  </si>
  <si>
    <t>7891037010031</t>
  </si>
  <si>
    <t>SEDA CO BRILHO GLOSS 350ML NE</t>
  </si>
  <si>
    <t>7891150002470</t>
  </si>
  <si>
    <t>SEDA CO SOS CASPA 350ML NE</t>
  </si>
  <si>
    <t>7891037006287</t>
  </si>
  <si>
    <t>SEDA CO PRETOS LUMINOSOS 350ML NE</t>
  </si>
  <si>
    <t>7891037145900</t>
  </si>
  <si>
    <t>SEDA CO SOS R ESTR 350ML NE</t>
  </si>
  <si>
    <t>7891150003156</t>
  </si>
  <si>
    <t>7891037004283</t>
  </si>
  <si>
    <t>SEDA CO CACHOS COMPORTADOS 350ML NE</t>
  </si>
  <si>
    <t>7891037000315</t>
  </si>
  <si>
    <t>SEDA CO CLIMA RESIST 350ML NE</t>
  </si>
  <si>
    <t>7891150007758</t>
  </si>
  <si>
    <t>SEDA CO LISO EXTREMO 350ML NE</t>
  </si>
  <si>
    <t>7898422749606</t>
  </si>
  <si>
    <t>SEDA CO CRESCIMENTO SAUDAVEL 350ML NE</t>
  </si>
  <si>
    <t>7891150002463</t>
  </si>
  <si>
    <t>SEDA CO GUARANA ACTIVE 350ML</t>
  </si>
  <si>
    <t>7891037144903</t>
  </si>
  <si>
    <t>SEDA CO REVITAL REP MASSA 350ML NE</t>
  </si>
  <si>
    <t>7891150001022</t>
  </si>
  <si>
    <t>HAIR CO SEDA TAM GRANDES</t>
  </si>
  <si>
    <t>7898422749781</t>
  </si>
  <si>
    <t>7891150012493</t>
  </si>
  <si>
    <t>7898422746124</t>
  </si>
  <si>
    <t>SEDA CO KERAFORCE QUIMICA 350ML NE</t>
  </si>
  <si>
    <t>7891150028128</t>
  </si>
  <si>
    <t>SEDA CO KERAFORCE ORIG 350ML NE</t>
  </si>
  <si>
    <t>7891150027527</t>
  </si>
  <si>
    <t>SEDA BOOM CR PENT VOLUMAO POWER 6X1KG</t>
  </si>
  <si>
    <t>7891150095892</t>
  </si>
  <si>
    <t>SEDA CREME PENTEAR COLAGENO 6X900G</t>
  </si>
  <si>
    <t>7891150107694</t>
  </si>
  <si>
    <t>SEDA CR PENT CACHOS DEFINIDOS 6X900G</t>
  </si>
  <si>
    <t>7891150106734</t>
  </si>
  <si>
    <t>SEDA CR PENT FORÇA E CRESC 12X300ML</t>
  </si>
  <si>
    <t>7891150103924</t>
  </si>
  <si>
    <t>SEDA CR PENT PREBIO+BIOTN 12X300ML NE</t>
  </si>
  <si>
    <t>7891150091436</t>
  </si>
  <si>
    <t>SEDA CR PENT JUNTINHOS CACHOS 12X300ML</t>
  </si>
  <si>
    <t>7891150083646</t>
  </si>
  <si>
    <t>SEDA CR PENT JUNTINHOS CRESPOS 12X300ML</t>
  </si>
  <si>
    <t>7891150083653</t>
  </si>
  <si>
    <t>SEDA CR PENT JUNTINHOS TDS T CAB12X300ML</t>
  </si>
  <si>
    <t>7891150083639</t>
  </si>
  <si>
    <t>SEDA CR PENT ONDAS ANTI FRIZZ 12X300ML</t>
  </si>
  <si>
    <t>7891150074002</t>
  </si>
  <si>
    <t>CREME PARA PENTEAR</t>
  </si>
  <si>
    <t>7891150015036</t>
  </si>
  <si>
    <t>SEDA CR PENT REV REP MASSA 12X300ML NE</t>
  </si>
  <si>
    <t>7891150001015</t>
  </si>
  <si>
    <t>7898422746100</t>
  </si>
  <si>
    <t>SEDA CR PENT SOS KERAFORCE 300ML NE</t>
  </si>
  <si>
    <t>7891037004290</t>
  </si>
  <si>
    <t>7891150015968</t>
  </si>
  <si>
    <t>SEDA CR PENT SUPER HIDRATACAO 12X300ML</t>
  </si>
  <si>
    <t>7891150030756</t>
  </si>
  <si>
    <t>7891150017658</t>
  </si>
  <si>
    <t>7891150017665</t>
  </si>
  <si>
    <t>SEDA CR PENT KERAFORCE CRESPOS 12X300ML</t>
  </si>
  <si>
    <t>7891150027541</t>
  </si>
  <si>
    <t>SEDA CR PENT SOS CERAM 300ML</t>
  </si>
  <si>
    <t>7891150043503</t>
  </si>
  <si>
    <t>SEDA CR PENT CACHOS COMP 300ML</t>
  </si>
  <si>
    <t>7891150043497</t>
  </si>
  <si>
    <t>SEDA CR PENT SOS REST INSTA  NE</t>
  </si>
  <si>
    <t>7891150002418</t>
  </si>
  <si>
    <t>SEDA CR PENT CRESC SAUDAVEL 12X300ML</t>
  </si>
  <si>
    <t>7891150002166</t>
  </si>
  <si>
    <t>SEDA CR PENT LISO PERFEITO 12X300ML</t>
  </si>
  <si>
    <t>7898422749590</t>
  </si>
  <si>
    <t>SEDA CR PENT KERAFORCE QUIMICA 12X300ML</t>
  </si>
  <si>
    <t>7891150028135</t>
  </si>
  <si>
    <t>7891150031739</t>
  </si>
  <si>
    <t>SEDA CR PENT HIDRATACAO ANTI NOS12X300ML</t>
  </si>
  <si>
    <t>7891150031746</t>
  </si>
  <si>
    <t>SEDA CR PENT SOS CERAMIDAS 12X300ML</t>
  </si>
  <si>
    <t>SEDA CR PENT PRETOS LUMINOSOS 12X300ML</t>
  </si>
  <si>
    <t>7898422745301</t>
  </si>
  <si>
    <t>SEDA CR PENTEAR BRILHO GLOSS 300ML</t>
  </si>
  <si>
    <t>7891150002142</t>
  </si>
  <si>
    <t>7891150019584</t>
  </si>
  <si>
    <t>SEDA CR PENT BABOSA OLEOS 12X300ML</t>
  </si>
  <si>
    <t>7891150060883</t>
  </si>
  <si>
    <t>SEDA CR PENTEAR BOMBA ARGAN 12X300ML NE</t>
  </si>
  <si>
    <t>7891150056565</t>
  </si>
  <si>
    <t>SEDA CR PENT SOS CERAM 10X3X300ML PR ESP</t>
  </si>
  <si>
    <t>7891150055667</t>
  </si>
  <si>
    <t>SEDA CR PENT CACHO DEF 10X3X300ML PR ESP</t>
  </si>
  <si>
    <t>7891150055674</t>
  </si>
  <si>
    <t>DOVE MASC RITUAL FORTALECIMENTO 6X500G</t>
  </si>
  <si>
    <t>7891150080751</t>
  </si>
  <si>
    <t>DOVE MASC RITUAL DE CRESCIMENTO 6X500G</t>
  </si>
  <si>
    <t>7891150080768</t>
  </si>
  <si>
    <t>DOVE MASC TRAT TEXTURA REAIS 6X500G</t>
  </si>
  <si>
    <t>7891150084803</t>
  </si>
  <si>
    <t>MASCARA DE TRATAMENTO HIDRATACAO DOVE POTE 500G</t>
  </si>
  <si>
    <t>MASCARA TRATAMENTO DOVE NUTRICAO 500G</t>
  </si>
  <si>
    <t>MASCARA DE TRATAMENTO RECONSTRUCAO DOVE POTE 500G</t>
  </si>
  <si>
    <t>DOVE MASC CACHOS+BIOTINA 6X500G</t>
  </si>
  <si>
    <t>7891150102354</t>
  </si>
  <si>
    <t>DOVE MASC HIDRAT+HILAURON-VIT 6X320GR</t>
  </si>
  <si>
    <t>7891150105614</t>
  </si>
  <si>
    <t>SEDA MASC FORÇA E CRESC 6X300G</t>
  </si>
  <si>
    <t>7891150103931</t>
  </si>
  <si>
    <t>SEDA MASC TRAT TOQUE DE SEDA 6X300G</t>
  </si>
  <si>
    <t>SEDA MASC TRAT PREBIO+BIOTN 6X300G NE</t>
  </si>
  <si>
    <t>7891150091474</t>
  </si>
  <si>
    <t>SEDA MASC CAP CONC CO POS DANOS6X300G NE</t>
  </si>
  <si>
    <t>7891150072893</t>
  </si>
  <si>
    <t>SEDA MASC CAP CONC CONDIC HIDRATA 6X300G</t>
  </si>
  <si>
    <t>7891150058040</t>
  </si>
  <si>
    <t>SEDA MASC CAP CONC CONDIC RESTAURA6X300G</t>
  </si>
  <si>
    <t>7891150058019</t>
  </si>
  <si>
    <t>SEDA MASC CAP CONC CONDIC NUTRE 6X300G</t>
  </si>
  <si>
    <t>7891150058026</t>
  </si>
  <si>
    <t>DOVE SERUM BOND 6X50ML</t>
  </si>
  <si>
    <t>CLEAR SH ANTI RESIDUOS 12X2X400ML+200ML</t>
  </si>
  <si>
    <t>7501056344221</t>
  </si>
  <si>
    <t>CLEAR SH QUEDA CONTROL 12X2X400ML+200ML</t>
  </si>
  <si>
    <t>7501056344085</t>
  </si>
  <si>
    <t>CLEAR SH FUSAO HERBAL POS ALIS 12X400ML</t>
  </si>
  <si>
    <t>7891150025660</t>
  </si>
  <si>
    <t>CLEAR SH FUSAO HERB CUIDAD TOTAL12X400ML</t>
  </si>
  <si>
    <t>7891150025653</t>
  </si>
  <si>
    <t>HAIR SH CLEAR MEN</t>
  </si>
  <si>
    <t>7891150020344</t>
  </si>
  <si>
    <t>7891150020320</t>
  </si>
  <si>
    <t>CLEAR SH CRESCIMENTO FORCA 12X400ML</t>
  </si>
  <si>
    <t>7891150014114</t>
  </si>
  <si>
    <t>CLEAR SH ICE COOL MENTHOL 400ML</t>
  </si>
  <si>
    <t>CLEAR SH QUEDA CONTROL 400ML</t>
  </si>
  <si>
    <t>7891150001268</t>
  </si>
  <si>
    <t>CLEAR SH QUEDA DEFENSE 12X400ML</t>
  </si>
  <si>
    <t>7891150001244</t>
  </si>
  <si>
    <t>CLEAR SH CONTROLE COCEIRA 400ML</t>
  </si>
  <si>
    <t>7891150014121</t>
  </si>
  <si>
    <t>CLEAR SH HIDRATACAO INTENSA 12X400ML</t>
  </si>
  <si>
    <t>7891150008137</t>
  </si>
  <si>
    <t>SH CLEAR ALÍVIO DA COCEIRA 400ML</t>
  </si>
  <si>
    <t>7891150001282</t>
  </si>
  <si>
    <t>CLEAR SH LIMP PROFUNDA 400ML</t>
  </si>
  <si>
    <t>DOVE SH CACHOS+BIOTINA 12X370ML</t>
  </si>
  <si>
    <t>7891150102668</t>
  </si>
  <si>
    <t>SEDA SH PREBIO+BIOTN 12X300ML</t>
  </si>
  <si>
    <t>7891150097483</t>
  </si>
  <si>
    <t>SEDA SH FORÇA E CRESC 12X300ML</t>
  </si>
  <si>
    <t>7891150103900</t>
  </si>
  <si>
    <t>SEDA SH PREBIO+BIOTN 12X325ML</t>
  </si>
  <si>
    <t>7891150091467</t>
  </si>
  <si>
    <t>SEDA SH PREBIO+BIOTN 12X425ML</t>
  </si>
  <si>
    <t>7891150091450</t>
  </si>
  <si>
    <t>SEDA CO PREBIO+BIOTN 12X425ML</t>
  </si>
  <si>
    <t>7891150091443</t>
  </si>
  <si>
    <t>SEDA SH POS DANOS 12X325ML NE</t>
  </si>
  <si>
    <t>7891150072886</t>
  </si>
  <si>
    <t>SEDA SH ONDAS ANTI FRIZZ 12X325ML</t>
  </si>
  <si>
    <t>7891150073999</t>
  </si>
  <si>
    <t>SEDA SH JOIAS BABOSA OLEO COCO 12X325ML</t>
  </si>
  <si>
    <t>7891150078352</t>
  </si>
  <si>
    <t>SEDA SH JOIAS MANDACARU E CAJA 12X325ML</t>
  </si>
  <si>
    <t>7891150078369</t>
  </si>
  <si>
    <t>SEDA SH JOIAS MAMONA E CAFE 12X325ML</t>
  </si>
  <si>
    <t>7891150078345</t>
  </si>
  <si>
    <t>SEDA SH COLAGENO E VIT C 12X325ML</t>
  </si>
  <si>
    <t>7891150080089</t>
  </si>
  <si>
    <t>SEDA SH SOS CERAMIDAS 12X325ML LV+PG-</t>
  </si>
  <si>
    <t>7891150078925</t>
  </si>
  <si>
    <t>SEDA SH CACHOS DEFINIDOS 12X325ML LV+PG-</t>
  </si>
  <si>
    <t>7891150078918</t>
  </si>
  <si>
    <t>SEDA SH BOOM HIDRATACAO PRO CUR 12X300ML</t>
  </si>
  <si>
    <t>7891150088467</t>
  </si>
  <si>
    <t>SEDA SH 2EM1 JUNT H ARANHA CAC 12X300ML</t>
  </si>
  <si>
    <t>7891150088641</t>
  </si>
  <si>
    <t>SEDA SH 2EM1 JUNTN HOMEM ARANHA 12X300ML</t>
  </si>
  <si>
    <t>7891150088634</t>
  </si>
  <si>
    <t>SEDA SH 2EM1 JUNTIN TDS TIP CAB12X300ML</t>
  </si>
  <si>
    <t>7891150083578</t>
  </si>
  <si>
    <t>SEDA SH JUNTINHOS CRESPOS 12X300ML</t>
  </si>
  <si>
    <t>7891150083592</t>
  </si>
  <si>
    <t>SEDA SH JUNTIN TDS TIPOS CABELO 12X300ML</t>
  </si>
  <si>
    <t>7891150083561</t>
  </si>
  <si>
    <t>SEDA SH JUNTINHOS CACHOS 12X300ML</t>
  </si>
  <si>
    <t>7891150083585</t>
  </si>
  <si>
    <t>SH SEDA KERAFORCE ORIGINAL</t>
  </si>
  <si>
    <t>7891150028159</t>
  </si>
  <si>
    <t>7891150027510</t>
  </si>
  <si>
    <t>SEDA SH SOS R ESTR 350ML NE</t>
  </si>
  <si>
    <t>7891150002395</t>
  </si>
  <si>
    <t>SEDA SH VITALIDADE EQUILIBRIO 12X350ML</t>
  </si>
  <si>
    <t>7891037145054</t>
  </si>
  <si>
    <t>SEDA SH BRILHO GLOSS 350ML NE</t>
  </si>
  <si>
    <t>7891150002098</t>
  </si>
  <si>
    <t>SEDA SH CRESCIMENTO SAUDAVEL 350ML NE</t>
  </si>
  <si>
    <t>7891150002111</t>
  </si>
  <si>
    <t>SEDA SH SOS CERAMIDAS 350ML NE</t>
  </si>
  <si>
    <t>7891037145955</t>
  </si>
  <si>
    <t>7898422746117</t>
  </si>
  <si>
    <t>SEDA SH LISO PERFEITO 350ML NE</t>
  </si>
  <si>
    <t>7891037010017</t>
  </si>
  <si>
    <t>7891150019539</t>
  </si>
  <si>
    <t>SEDA SH LISO EXTREMO 350ML NE</t>
  </si>
  <si>
    <t>7898422749583</t>
  </si>
  <si>
    <t>7891150007765</t>
  </si>
  <si>
    <t>SEDA SH CITRIC FRESH 350ML</t>
  </si>
  <si>
    <t>7891037009578</t>
  </si>
  <si>
    <t>SEDA SH SOS QUEDA 350ML NE</t>
  </si>
  <si>
    <t>7898422745578</t>
  </si>
  <si>
    <t>SEDA SH CACHOS COMPORTADOS 350ML NE</t>
  </si>
  <si>
    <t>7891037000308</t>
  </si>
  <si>
    <t>SEDA SH SOS KERAFORCE 350ML NE</t>
  </si>
  <si>
    <t>7891037004276</t>
  </si>
  <si>
    <t>HAIR SH+CO+CRPE SEDA REGULAR - OFERTA</t>
  </si>
  <si>
    <t>7891150016644</t>
  </si>
  <si>
    <t>7891150019522</t>
  </si>
  <si>
    <t>7891150016675</t>
  </si>
  <si>
    <t>7898422746261</t>
  </si>
  <si>
    <t>7891150015043</t>
  </si>
  <si>
    <t>7891037006270</t>
  </si>
  <si>
    <t>7891150015203</t>
  </si>
  <si>
    <t>SEDA SH PRETOS LUMINOSOS 350ML NE</t>
  </si>
  <si>
    <t>7891037145856</t>
  </si>
  <si>
    <t>SEDA SH FORCA ANTIQUEBRA 350ML NE</t>
  </si>
  <si>
    <t>7891150034389</t>
  </si>
  <si>
    <t>SEDA SH HIDRATACAO ANTI NOS 350ML NE</t>
  </si>
  <si>
    <t>7891150034372</t>
  </si>
  <si>
    <t>7891150030763</t>
  </si>
  <si>
    <t>SEDA SH BOMBA ARGAN 12X325ML NE</t>
  </si>
  <si>
    <t>7891150056572</t>
  </si>
  <si>
    <t>SEDA SH REVIT BABOSA 12X325ML</t>
  </si>
  <si>
    <t>7891150060685</t>
  </si>
  <si>
    <t>SEDA SH BOMBA COCO 12X325ML</t>
  </si>
  <si>
    <t>7891150067509</t>
  </si>
  <si>
    <t>SEDA SH BIOTINA E OLEO DE RICINO12X325ML</t>
  </si>
  <si>
    <t>7891150070301</t>
  </si>
  <si>
    <t>SEDA SH LIMPEZA MICELAR 12X325ML</t>
  </si>
  <si>
    <t>7891150063440</t>
  </si>
  <si>
    <t>SEDA SH BRILHO E MOVIMENTO 12X325ML</t>
  </si>
  <si>
    <t>7891150042773</t>
  </si>
  <si>
    <t>SEDA SH HIDRATACAO BAIXO POO 12X325ML</t>
  </si>
  <si>
    <t>7891150043213</t>
  </si>
  <si>
    <t>SEDA SH POS ALISAMENTO QUIM 12X325ML</t>
  </si>
  <si>
    <t>7891150037557</t>
  </si>
  <si>
    <t>SEDA SH SOS QUEDA 12X325ML</t>
  </si>
  <si>
    <t>7891150037359</t>
  </si>
  <si>
    <t>SEDA SH KERAFORCE 12X325ML NE</t>
  </si>
  <si>
    <t>7891150037472</t>
  </si>
  <si>
    <t>SEDA SH KERAFORCE QUIMICA 12X325ML</t>
  </si>
  <si>
    <t>7891150037496</t>
  </si>
  <si>
    <t>SEDA SH SOS RESTA INSTANT 12X325ML NE</t>
  </si>
  <si>
    <t>7891150037571</t>
  </si>
  <si>
    <t>SEDA SH HIDRATACAO DIARIA 12X325ML</t>
  </si>
  <si>
    <t>7891150037458</t>
  </si>
  <si>
    <t>SEDA SH SOS CERAMIDAS 12X325ML</t>
  </si>
  <si>
    <t>SEDA SH PRETOS LUMINOSOS 12X325ML</t>
  </si>
  <si>
    <t>7891150037526</t>
  </si>
  <si>
    <t>SEDA SH CACHOS DEFINIDOS 12X325ML NE</t>
  </si>
  <si>
    <t>SEDA SH HIDRATACAO ANTI NOS 12X325ML</t>
  </si>
  <si>
    <t>7891150037601</t>
  </si>
  <si>
    <t>SEDA SH OLEO HIDRATACAO 12X325ML</t>
  </si>
  <si>
    <t>7891150037540</t>
  </si>
  <si>
    <t>SEDA SH BRILHO GLOSS 325ML NE</t>
  </si>
  <si>
    <t>7891150037335</t>
  </si>
  <si>
    <t>SEDA SH MEL ANTIQUEBRA 12X325ML</t>
  </si>
  <si>
    <t>7891150037588</t>
  </si>
  <si>
    <t>SEDA SH CRESCIMENTO SAUDAVEL 12X325ML</t>
  </si>
  <si>
    <t>7891150037434</t>
  </si>
  <si>
    <t>SEDA SH OLEO CONTROL 12X325ML NE</t>
  </si>
  <si>
    <t>7891150037533</t>
  </si>
  <si>
    <t>SEDA SH LISO EXTREMO 12X325ML</t>
  </si>
  <si>
    <t>7891150037502</t>
  </si>
  <si>
    <t>SEDA SH PUREZA DETOX 12X325ML</t>
  </si>
  <si>
    <t>7891150037564</t>
  </si>
  <si>
    <t>SEDA SH BOMBA DE NUTRICAO 12X325ML NE</t>
  </si>
  <si>
    <t>7891150049628</t>
  </si>
  <si>
    <t>Preço e Ponto Extra que são considerados para a execução da Ponderada</t>
  </si>
  <si>
    <t>Sub Região</t>
  </si>
  <si>
    <t>Tipo</t>
  </si>
  <si>
    <t>Pergunta</t>
  </si>
  <si>
    <t>Preço Máximo</t>
  </si>
  <si>
    <t>LESTE</t>
  </si>
  <si>
    <t>LESTE E INTERIOR RJ</t>
  </si>
  <si>
    <t>PONTO EXTRA</t>
  </si>
  <si>
    <t>A loja possui ponto extra de pós+líquidos? (foco em omo, mas qualquer marca é valida)</t>
  </si>
  <si>
    <t>PREÇO</t>
  </si>
  <si>
    <t>PREÇO COMFORT 500ML</t>
  </si>
  <si>
    <t>14.89</t>
  </si>
  <si>
    <t>PREÇO OMO 1,6KG</t>
  </si>
  <si>
    <t>32.09</t>
  </si>
  <si>
    <t>A loja possui ponto extra de Hellmanns Squeeze (Maionese ou Ketchup ou Mostarda)?</t>
  </si>
  <si>
    <t>PREÇO CALDO KNORR 3L - HT</t>
  </si>
  <si>
    <t>2.79</t>
  </si>
  <si>
    <t>PREÇO MAYO HELLMANNS REGULAR SQUEEZE - HT</t>
  </si>
  <si>
    <t>15.49</t>
  </si>
  <si>
    <t>A loja possui Ponto Extra de DEOS AERO REXONA?</t>
  </si>
  <si>
    <t>PREÇO DEO DOVE AERO REGULAR 150ML</t>
  </si>
  <si>
    <t>19.90</t>
  </si>
  <si>
    <t>PREÇO DEO REXONA AERO REGULAR 150ML</t>
  </si>
  <si>
    <t>17.90</t>
  </si>
  <si>
    <t>A loja possui Ponto Extra de Cabelos DOVE e/ou SEDA? (foco em Dove Ferulico e/ou Seda Colageno)</t>
  </si>
  <si>
    <t>PREÇO HAIR SH DOVE TAM MED</t>
  </si>
  <si>
    <t>41.39</t>
  </si>
  <si>
    <t>PREÇO HAIR SH SEDA REGULAR</t>
  </si>
  <si>
    <t>17.49</t>
  </si>
  <si>
    <t>Resumo Ponderada</t>
  </si>
  <si>
    <t>Prefixo da Rede</t>
  </si>
  <si>
    <t>Classificação Ponderada</t>
  </si>
  <si>
    <t>Qtde de Lojas na Rede</t>
  </si>
  <si>
    <t>Nome da Rede</t>
  </si>
  <si>
    <t>Valo Mínimo para considerar Positivada</t>
  </si>
  <si>
    <t>Valor Faturado</t>
  </si>
  <si>
    <t>Positivada</t>
  </si>
  <si>
    <t>EANS</t>
  </si>
  <si>
    <t>Qtde de Lojas que reponderam pesquisa no MiraPDV</t>
  </si>
  <si>
    <t>Qtde de Lojas com Execução OK (Dois preços e um PE)</t>
  </si>
  <si>
    <t>Compliance Execução (50% das Lojas com execução OK)</t>
  </si>
  <si>
    <t>01.447.141</t>
  </si>
  <si>
    <t>Pond. Indep.</t>
  </si>
  <si>
    <t>MG</t>
  </si>
  <si>
    <t>03.214.362</t>
  </si>
  <si>
    <t>06.894.782</t>
  </si>
  <si>
    <t>06.988.720</t>
  </si>
  <si>
    <t>07.349.767</t>
  </si>
  <si>
    <t>07.799.905</t>
  </si>
  <si>
    <t>08.223.226</t>
  </si>
  <si>
    <t>09.442.132</t>
  </si>
  <si>
    <t>18.468.199</t>
  </si>
  <si>
    <t>18.510.982</t>
  </si>
  <si>
    <t>19.867.464</t>
  </si>
  <si>
    <t>20.841.144</t>
  </si>
  <si>
    <t>25.628.819</t>
  </si>
  <si>
    <t>25.735.465</t>
  </si>
  <si>
    <t>25.926.205</t>
  </si>
  <si>
    <t>42.899.077</t>
  </si>
  <si>
    <t>64.440.555</t>
  </si>
  <si>
    <t>70.973.037</t>
  </si>
  <si>
    <t>Data</t>
  </si>
  <si>
    <t>Periodo</t>
  </si>
  <si>
    <t>Periodo_Fechado_Aberto</t>
  </si>
  <si>
    <t>26/05/2026</t>
  </si>
  <si>
    <t>Maio/2026</t>
  </si>
  <si>
    <t xml:space="preserve"> -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</si>
</sst>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;\-0;;@"/>
    <numFmt numFmtId="165" formatCode="_-* #,##0.0_-;\-* #,##0.0_-;_-* &quot;-&quot;??_-;_-@_-"/>
    <numFmt numFmtId="166" formatCode="0.000%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42E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2" fillId="0" borderId="0"/>
    <xf numFmtId="9" fontId="2" fillId="0" borderId="0"/>
    <xf numFmtId="43" fontId="2" fillId="0" borderId="0"/>
  </cellStyleXfs>
  <cellXfs count="139">
    <xf numFmtId="0" fontId="0" fillId="0" borderId="0" xfId="0"/>
    <xf numFmtId="0" fontId="5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14" xfId="0" applyBorder="1"/>
    <xf numFmtId="0" fontId="0" fillId="0" borderId="12" xfId="0" applyBorder="1"/>
    <xf numFmtId="0" fontId="0" fillId="0" borderId="37" xfId="0" applyBorder="1"/>
    <xf numFmtId="10" fontId="1" fillId="0" borderId="10" xfId="2" applyNumberFormat="1" applyFont="1" applyBorder="1" applyAlignment="1">
      <alignment horizontal="center" wrapText="1"/>
    </xf>
    <xf numFmtId="10" fontId="1" fillId="0" borderId="14" xfId="2" applyNumberFormat="1" applyFont="1" applyBorder="1" applyAlignment="1">
      <alignment horizontal="center" wrapText="1"/>
    </xf>
    <xf numFmtId="10" fontId="1" fillId="0" borderId="12" xfId="2" applyNumberFormat="1" applyFont="1" applyBorder="1" applyAlignment="1">
      <alignment horizontal="center" wrapText="1"/>
    </xf>
    <xf numFmtId="10" fontId="1" fillId="0" borderId="13" xfId="2" applyNumberFormat="1" applyFont="1" applyBorder="1" applyAlignment="1">
      <alignment horizontal="center" wrapText="1"/>
    </xf>
    <xf numFmtId="10" fontId="0" fillId="0" borderId="10" xfId="2" applyNumberFormat="1" applyFont="1" applyBorder="1"/>
    <xf numFmtId="0" fontId="0" fillId="0" borderId="24" xfId="0" applyBorder="1"/>
    <xf numFmtId="0" fontId="0" fillId="0" borderId="22" xfId="0" applyBorder="1"/>
    <xf numFmtId="0" fontId="0" fillId="0" borderId="38" xfId="0" applyBorder="1"/>
    <xf numFmtId="10" fontId="1" fillId="0" borderId="20" xfId="2" applyNumberFormat="1" applyFont="1" applyBorder="1" applyAlignment="1">
      <alignment horizontal="center" wrapText="1"/>
    </xf>
    <xf numFmtId="10" fontId="1" fillId="0" borderId="24" xfId="2" applyNumberFormat="1" applyFont="1" applyBorder="1" applyAlignment="1">
      <alignment horizontal="center" wrapText="1"/>
    </xf>
    <xf numFmtId="10" fontId="1" fillId="0" borderId="22" xfId="2" applyNumberFormat="1" applyFont="1" applyBorder="1" applyAlignment="1">
      <alignment horizontal="center" wrapText="1"/>
    </xf>
    <xf numFmtId="10" fontId="1" fillId="0" borderId="23" xfId="2" applyNumberFormat="1" applyFont="1" applyBorder="1" applyAlignment="1">
      <alignment horizontal="center" wrapText="1"/>
    </xf>
    <xf numFmtId="10" fontId="0" fillId="0" borderId="20" xfId="2" applyNumberFormat="1" applyFont="1" applyBorder="1"/>
    <xf numFmtId="0" fontId="0" fillId="0" borderId="19" xfId="0" applyBorder="1"/>
    <xf numFmtId="0" fontId="0" fillId="0" borderId="17" xfId="0" applyBorder="1"/>
    <xf numFmtId="0" fontId="0" fillId="0" borderId="39" xfId="0" applyBorder="1"/>
    <xf numFmtId="10" fontId="1" fillId="0" borderId="15" xfId="2" applyNumberFormat="1" applyFont="1" applyBorder="1" applyAlignment="1">
      <alignment horizontal="center" wrapText="1"/>
    </xf>
    <xf numFmtId="10" fontId="1" fillId="0" borderId="19" xfId="2" applyNumberFormat="1" applyFont="1" applyBorder="1" applyAlignment="1">
      <alignment horizontal="center" wrapText="1"/>
    </xf>
    <xf numFmtId="10" fontId="1" fillId="0" borderId="17" xfId="2" applyNumberFormat="1" applyFont="1" applyBorder="1" applyAlignment="1">
      <alignment horizontal="center" wrapText="1"/>
    </xf>
    <xf numFmtId="10" fontId="1" fillId="0" borderId="18" xfId="2" applyNumberFormat="1" applyFont="1" applyBorder="1" applyAlignment="1">
      <alignment horizontal="center" wrapText="1"/>
    </xf>
    <xf numFmtId="10" fontId="0" fillId="0" borderId="15" xfId="2" applyNumberFormat="1" applyFont="1" applyBorder="1"/>
    <xf numFmtId="0" fontId="0" fillId="2" borderId="29" xfId="0" applyFill="1" applyBorder="1"/>
    <xf numFmtId="0" fontId="0" fillId="2" borderId="27" xfId="0" applyFill="1" applyBorder="1"/>
    <xf numFmtId="0" fontId="0" fillId="2" borderId="40" xfId="0" applyFill="1" applyBorder="1"/>
    <xf numFmtId="10" fontId="1" fillId="2" borderId="25" xfId="2" applyNumberFormat="1" applyFont="1" applyFill="1" applyBorder="1" applyAlignment="1">
      <alignment horizontal="center" wrapText="1"/>
    </xf>
    <xf numFmtId="10" fontId="1" fillId="2" borderId="29" xfId="2" applyNumberFormat="1" applyFont="1" applyFill="1" applyBorder="1" applyAlignment="1">
      <alignment horizontal="center" wrapText="1"/>
    </xf>
    <xf numFmtId="10" fontId="1" fillId="2" borderId="27" xfId="2" applyNumberFormat="1" applyFont="1" applyFill="1" applyBorder="1" applyAlignment="1">
      <alignment horizontal="center" wrapText="1"/>
    </xf>
    <xf numFmtId="10" fontId="1" fillId="2" borderId="28" xfId="2" applyNumberFormat="1" applyFont="1" applyFill="1" applyBorder="1" applyAlignment="1">
      <alignment horizontal="center" wrapText="1"/>
    </xf>
    <xf numFmtId="10" fontId="0" fillId="2" borderId="25" xfId="2" applyNumberFormat="1" applyFont="1" applyFill="1" applyBorder="1"/>
    <xf numFmtId="10" fontId="0" fillId="0" borderId="0" xfId="2" applyNumberFormat="1" applyFont="1"/>
    <xf numFmtId="44" fontId="0" fillId="0" borderId="0" xfId="1" applyFont="1"/>
    <xf numFmtId="0" fontId="0" fillId="0" borderId="0" xfId="0" applyAlignment="1">
      <alignment horizontal="center"/>
    </xf>
    <xf numFmtId="49" fontId="6" fillId="0" borderId="0" xfId="0" applyNumberFormat="1" applyFont="1" applyAlignment="1">
      <alignment horizontal="left"/>
    </xf>
    <xf numFmtId="17" fontId="0" fillId="0" borderId="0" xfId="0" applyNumberFormat="1" applyAlignment="1">
      <alignment horizontal="left"/>
    </xf>
    <xf numFmtId="0" fontId="7" fillId="5" borderId="52" xfId="0" applyFont="1" applyFill="1" applyBorder="1"/>
    <xf numFmtId="0" fontId="7" fillId="5" borderId="53" xfId="0" applyFont="1" applyFill="1" applyBorder="1"/>
    <xf numFmtId="0" fontId="6" fillId="0" borderId="49" xfId="0" applyFont="1" applyBorder="1" applyAlignment="1">
      <alignment horizontal="left"/>
    </xf>
    <xf numFmtId="49" fontId="0" fillId="6" borderId="50" xfId="0" applyNumberFormat="1" applyFill="1" applyBorder="1"/>
    <xf numFmtId="0" fontId="6" fillId="0" borderId="0" xfId="0" applyFont="1" applyAlignment="1">
      <alignment horizontal="left"/>
    </xf>
    <xf numFmtId="49" fontId="0" fillId="6" borderId="51" xfId="0" applyNumberFormat="1" applyFill="1" applyBorder="1"/>
    <xf numFmtId="49" fontId="8" fillId="0" borderId="49" xfId="0" applyNumberFormat="1" applyFont="1" applyBorder="1" applyAlignment="1">
      <alignment horizontal="left"/>
    </xf>
    <xf numFmtId="0" fontId="9" fillId="0" borderId="0" xfId="0" applyFont="1"/>
    <xf numFmtId="49" fontId="10" fillId="7" borderId="3" xfId="0" applyNumberFormat="1" applyFont="1" applyFill="1" applyBorder="1" applyAlignment="1" applyProtection="1">
      <alignment vertical="center" wrapText="1"/>
      <protection locked="0"/>
    </xf>
    <xf numFmtId="49" fontId="10" fillId="7" borderId="4" xfId="0" applyNumberFormat="1" applyFont="1" applyFill="1" applyBorder="1" applyAlignment="1" applyProtection="1">
      <alignment vertical="center" wrapText="1"/>
      <protection locked="0"/>
    </xf>
    <xf numFmtId="0" fontId="11" fillId="0" borderId="0" xfId="0" applyFont="1"/>
    <xf numFmtId="10" fontId="11" fillId="0" borderId="0" xfId="2" applyNumberFormat="1" applyFont="1"/>
    <xf numFmtId="0" fontId="0" fillId="11" borderId="0" xfId="0" applyFill="1" applyAlignment="1">
      <alignment horizontal="center" vertical="center" wrapText="1"/>
    </xf>
    <xf numFmtId="49" fontId="10" fillId="7" borderId="4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0" xfId="0" applyNumberFormat="1" applyFont="1"/>
    <xf numFmtId="9" fontId="11" fillId="0" borderId="0" xfId="2" applyFont="1"/>
    <xf numFmtId="0" fontId="11" fillId="0" borderId="54" xfId="0" applyFont="1" applyBorder="1"/>
    <xf numFmtId="44" fontId="11" fillId="0" borderId="0" xfId="1" applyFont="1"/>
    <xf numFmtId="0" fontId="11" fillId="0" borderId="0" xfId="0" applyFont="1" applyAlignment="1">
      <alignment horizontal="center"/>
    </xf>
    <xf numFmtId="164" fontId="11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49" fontId="10" fillId="7" borderId="0" xfId="0" applyNumberFormat="1" applyFont="1" applyFill="1" applyAlignment="1" applyProtection="1">
      <alignment vertical="center" wrapText="1"/>
      <protection locked="0"/>
    </xf>
    <xf numFmtId="0" fontId="10" fillId="8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left"/>
    </xf>
    <xf numFmtId="10" fontId="0" fillId="0" borderId="0" xfId="2" applyNumberFormat="1" applyFont="1" applyAlignment="1">
      <alignment horizontal="center"/>
    </xf>
    <xf numFmtId="0" fontId="0" fillId="0" borderId="0" xfId="0" applyAlignment="1">
      <alignment vertical="center"/>
    </xf>
    <xf numFmtId="165" fontId="11" fillId="0" borderId="0" xfId="3" applyNumberFormat="1" applyFont="1"/>
    <xf numFmtId="166" fontId="11" fillId="0" borderId="0" xfId="2" applyNumberFormat="1" applyFont="1"/>
    <xf numFmtId="3" fontId="11" fillId="0" borderId="0" xfId="0" applyNumberFormat="1" applyFont="1" applyAlignment="1">
      <alignment horizontal="center"/>
    </xf>
    <xf numFmtId="49" fontId="0" fillId="0" borderId="0" xfId="0" quotePrefix="1" applyNumberFormat="1"/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42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90">
    <dxf>
      <font>
        <color rgb="FF9C0006"/>
      </font>
      <fill>
        <patternFill>
          <bgColor rgb="FFFFC7CE"/>
        </patternFill>
      </fill>
    </dxf>
    <dxf>
      <fill>
        <patternFill>
          <fgColor rgb="FFFF0000"/>
          <bgColor rgb="FFFFE1E1"/>
        </patternFill>
      </fill>
    </dxf>
    <dxf>
      <fill>
        <patternFill>
          <bgColor rgb="FFFFFF00"/>
        </patternFill>
      </fill>
    </dxf>
    <dxf>
      <fill>
        <patternFill>
          <bgColor theme="9" tint="0.79995117038483843"/>
        </patternFill>
      </fill>
    </dxf>
    <dxf>
      <font>
        <color theme="0"/>
      </font>
      <fill>
        <patternFill>
          <bgColor theme="9" tint="-0.499984740745262"/>
        </patternFill>
      </fill>
    </dxf>
    <dxf>
      <numFmt numFmtId="30" formatCode="@"/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0;\-0;;@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0;\-0;;@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0;\-0;;@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0;\-0;;@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0;\-0;;@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42E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42E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42E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0;\-0;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42E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42E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0" hidden="0"/>
    </dxf>
    <dxf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6" formatCode="0.000%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5" formatCode="_-* #,##0.0_-;\-* #,##0.0_-;_-* &quot;-&quot;??_-;_-@_-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5" formatCode="_-* #,##0.0_-;\-* #,##0.0_-;_-* &quot;-&quot;??_-;_-@_-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5" formatCode="_-* #,##0.0_-;\-* #,##0.0_-;_-* &quot;-&quot;??_-;_-@_-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5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82550</xdr:colOff>
      <xdr:row>0</xdr:row>
      <xdr:rowOff>171450</xdr:rowOff>
    </xdr:from>
    <xdr:to>
      <xdr:col>11</xdr:col>
      <xdr:colOff>164727</xdr:colOff>
      <xdr:row>1</xdr:row>
      <xdr:rowOff>142900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1F7536-0CCF-40C5-BBBF-DB9A1D102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350" y="171450"/>
          <a:ext cx="698127" cy="1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0</xdr:row>
      <xdr:rowOff>153040</xdr:rowOff>
    </xdr:from>
    <xdr:to>
      <xdr:col>3</xdr:col>
      <xdr:colOff>863599</xdr:colOff>
      <xdr:row>3</xdr:row>
      <xdr:rowOff>70902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B0AF654-21EF-4DF2-8FF7-38428D0FF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1" y="153040"/>
          <a:ext cx="2044699" cy="4893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993775</xdr:colOff>
      <xdr:row>2</xdr:row>
      <xdr:rowOff>33793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266D036-CCFF-4543-8650-BFB6ECBB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993775" cy="233818"/>
        </a:xfrm>
        <a:prstGeom prst="rect">
          <a:avLst/>
        </a:prstGeom>
      </xdr:spPr>
    </xdr:pic>
    <xdr:clientData/>
  </xdr:twoCellAnchor>
  <xdr:twoCellAnchor editAs="oneCell">
    <xdr:from>
      <xdr:col>7</xdr:col>
      <xdr:colOff>406400</xdr:colOff>
      <xdr:row>0</xdr:row>
      <xdr:rowOff>161925</xdr:rowOff>
    </xdr:from>
    <xdr:to>
      <xdr:col>7</xdr:col>
      <xdr:colOff>1066427</xdr:colOff>
      <xdr:row>1</xdr:row>
      <xdr:rowOff>127025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841A7F0-0296-4BEC-9515-9C01B77CB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075" y="161925"/>
          <a:ext cx="666377" cy="155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993775</xdr:colOff>
      <xdr:row>2</xdr:row>
      <xdr:rowOff>33793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BEF5462-E31A-4327-9844-C6FA1E9C6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993775" cy="233818"/>
        </a:xfrm>
        <a:prstGeom prst="rect">
          <a:avLst/>
        </a:prstGeom>
      </xdr:spPr>
    </xdr:pic>
    <xdr:clientData/>
  </xdr:twoCellAnchor>
  <xdr:twoCellAnchor editAs="oneCell">
    <xdr:from>
      <xdr:col>6</xdr:col>
      <xdr:colOff>406400</xdr:colOff>
      <xdr:row>0</xdr:row>
      <xdr:rowOff>161925</xdr:rowOff>
    </xdr:from>
    <xdr:to>
      <xdr:col>6</xdr:col>
      <xdr:colOff>1066427</xdr:colOff>
      <xdr:row>1</xdr:row>
      <xdr:rowOff>127025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0DDCC6C-66FF-4535-A031-EF504B57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075" y="161925"/>
          <a:ext cx="666377" cy="155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993775</xdr:colOff>
      <xdr:row>2</xdr:row>
      <xdr:rowOff>33793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0D9B4CE-1372-4936-97D7-6416EA633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993775" cy="233818"/>
        </a:xfrm>
        <a:prstGeom prst="rect">
          <a:avLst/>
        </a:prstGeom>
      </xdr:spPr>
    </xdr:pic>
    <xdr:clientData/>
  </xdr:twoCellAnchor>
  <xdr:twoCellAnchor editAs="oneCell">
    <xdr:from>
      <xdr:col>6</xdr:col>
      <xdr:colOff>406400</xdr:colOff>
      <xdr:row>0</xdr:row>
      <xdr:rowOff>161925</xdr:rowOff>
    </xdr:from>
    <xdr:to>
      <xdr:col>6</xdr:col>
      <xdr:colOff>1066427</xdr:colOff>
      <xdr:row>1</xdr:row>
      <xdr:rowOff>127025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3953536-57A4-471B-AD96-DFA6686AE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075" y="161925"/>
          <a:ext cx="666377" cy="1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993775</xdr:colOff>
      <xdr:row>2</xdr:row>
      <xdr:rowOff>43318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2E168C1-288F-4F5F-A19A-D411B5AE1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993775" cy="243343"/>
        </a:xfrm>
        <a:prstGeom prst="rect">
          <a:avLst/>
        </a:prstGeom>
      </xdr:spPr>
    </xdr:pic>
    <xdr:clientData/>
  </xdr:twoCellAnchor>
  <xdr:twoCellAnchor editAs="oneCell">
    <xdr:from>
      <xdr:col>6</xdr:col>
      <xdr:colOff>406400</xdr:colOff>
      <xdr:row>0</xdr:row>
      <xdr:rowOff>161925</xdr:rowOff>
    </xdr:from>
    <xdr:to>
      <xdr:col>6</xdr:col>
      <xdr:colOff>1066427</xdr:colOff>
      <xdr:row>1</xdr:row>
      <xdr:rowOff>127025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BD3C355-10E9-4B0A-91CB-D6AFD45B5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0" y="161925"/>
          <a:ext cx="666377" cy="1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993775</xdr:colOff>
      <xdr:row>2</xdr:row>
      <xdr:rowOff>52843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22FAE1-6EF1-4F8D-A1E1-C22701FF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993775" cy="243343"/>
        </a:xfrm>
        <a:prstGeom prst="rect">
          <a:avLst/>
        </a:prstGeom>
      </xdr:spPr>
    </xdr:pic>
    <xdr:clientData/>
  </xdr:twoCellAnchor>
  <xdr:twoCellAnchor editAs="oneCell">
    <xdr:from>
      <xdr:col>7</xdr:col>
      <xdr:colOff>406400</xdr:colOff>
      <xdr:row>0</xdr:row>
      <xdr:rowOff>161925</xdr:rowOff>
    </xdr:from>
    <xdr:to>
      <xdr:col>8</xdr:col>
      <xdr:colOff>456827</xdr:colOff>
      <xdr:row>1</xdr:row>
      <xdr:rowOff>127025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0B6686-0C4D-47A8-A32A-79C514218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0" y="161925"/>
          <a:ext cx="666377" cy="155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993775</xdr:colOff>
      <xdr:row>2</xdr:row>
      <xdr:rowOff>52843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D9D6470-6ED4-4146-8692-E44CF5D99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993775" cy="243343"/>
        </a:xfrm>
        <a:prstGeom prst="rect">
          <a:avLst/>
        </a:prstGeom>
      </xdr:spPr>
    </xdr:pic>
    <xdr:clientData/>
  </xdr:twoCellAnchor>
  <xdr:twoCellAnchor editAs="oneCell">
    <xdr:from>
      <xdr:col>6</xdr:col>
      <xdr:colOff>406400</xdr:colOff>
      <xdr:row>0</xdr:row>
      <xdr:rowOff>161925</xdr:rowOff>
    </xdr:from>
    <xdr:to>
      <xdr:col>7</xdr:col>
      <xdr:colOff>275852</xdr:colOff>
      <xdr:row>1</xdr:row>
      <xdr:rowOff>127025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2CAFA90-F356-46A5-BE94-084821518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0" y="161925"/>
          <a:ext cx="666377" cy="155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995A3B-399A-4C00-B9C6-DE2CF4259F41}" name="TB_APURACAO_KPIS" displayName="TB_APURACAO_KPIS" ref="B30:I34" totalsRowShown="0" headerRowDxfId="74">
  <autoFilter ref="B30:I34" xr:uid="{00000000-0009-0000-0100-000005000000}"/>
  <tableColumns count="8">
    <tableColumn id="1" xr3:uid="{5330A6FC-1100-458A-AA09-9E9F571349FC}" name="TODOS"/>
    <tableColumn id="2" xr3:uid="{54095AC6-3B89-4408-BCA7-E30189BEA06F}" name="FAT." dataDxfId="73" dataCellStyle="Porcentagem"/>
    <tableColumn id="3" xr3:uid="{9F2EE61B-726D-42A5-9FA5-9D132DC1D299}" name="Cob Pond" dataDxfId="72" dataCellStyle="Porcentagem"/>
    <tableColumn id="4" xr3:uid="{EE5BA1D5-743E-4563-97A7-CB47D572F9F4}" name="Sort Pond" dataDxfId="71" dataCellStyle="Porcentagem"/>
    <tableColumn id="5" xr3:uid="{9665DFFC-A9B5-4A30-BF26-34CEB3708EC5}" name="Exec Pond" dataDxfId="70" dataCellStyle="Porcentagem"/>
    <tableColumn id="6" xr3:uid="{EFCAAFF5-77D6-43E5-AD9E-F01C06AB6C84}" name="Cob Num." dataDxfId="69" dataCellStyle="Porcentagem"/>
    <tableColumn id="7" xr3:uid="{F1DE7AEB-3110-4C0C-BCB2-25033D309919}" name="Sort Num." dataDxfId="68" dataCellStyle="Porcentagem"/>
    <tableColumn id="8" xr3:uid="{24D06F6C-9CE4-4368-B1E4-FB4F9AD825B3}" name="TT" dataDxfId="67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724E05-604A-44A5-A7E4-14CC3D185A11}" name="TB_APURACAO_VALOR_COB" displayName="TB_APURACAO_VALOR_COB" ref="B48:D52" totalsRowShown="0" headerRowDxfId="66">
  <autoFilter ref="B48:D52" xr:uid="{00000000-0009-0000-0100-000006000000}"/>
  <tableColumns count="3">
    <tableColumn id="1" xr3:uid="{967F361C-5A9B-44CE-BA60-DBCCC368C089}" name="Estado"/>
    <tableColumn id="2" xr3:uid="{1A11329D-978B-4665-9B74-16E05D053FD6}" name="BU"/>
    <tableColumn id="3" xr3:uid="{6D146E02-AEA9-4983-AB3C-3BA1AE18ED3B}" name="Valor Mínimo Faturamento da Rede" dataCellStyle="Moed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8589A-C376-4F8D-97E5-D5D3AC2B41BE}" name="TB_METAS_E_REALIZADO" displayName="TB_METAS_E_REALIZADO" ref="B9:N33" totalsRowShown="0" headerRowDxfId="89" dataDxfId="88">
  <autoFilter ref="B9:N33" xr:uid="{3538589A-C376-4F8D-97E5-D5D3AC2B41BE}">
    <filterColumn colId="3">
      <filters>
        <filter val="BW"/>
      </filters>
    </filterColumn>
  </autoFilter>
  <tableColumns count="13">
    <tableColumn id="13" xr3:uid="{FB4C7745-A3A3-4599-B023-D4E2026DAEE8}" name="Região" dataDxfId="87"/>
    <tableColumn id="1" xr3:uid="{1FBC83D7-82B4-4917-9CEB-27A0ED8B0D00}" name="AE" dataDxfId="86"/>
    <tableColumn id="2" xr3:uid="{5E244AEB-29ED-471C-A8C0-C49B61F061A6}" name="KPI" dataDxfId="85"/>
    <tableColumn id="3" xr3:uid="{3B82D024-860C-4283-94BC-782185EE9038}" name="BU" dataDxfId="84"/>
    <tableColumn id="11" xr3:uid="{2C237177-FB9A-49BD-935F-D25E388F1AAD}" name="Unidade de Medida" dataDxfId="83"/>
    <tableColumn id="4" xr3:uid="{86263374-3091-4ADB-B592-40FBF93E4BCC}" name="(100% do ganho)" dataDxfId="82" dataCellStyle="Vírgula"/>
    <tableColumn id="5" xr3:uid="{AC6DF6C1-4E77-40B4-B1E1-D199723EAE20}" name="(50% do ganho)" dataDxfId="81" dataCellStyle="Vírgula"/>
    <tableColumn id="6" xr3:uid="{115B3377-8C6A-4CAD-911C-CE0C28CD86C2}" name=" (30% do ganho)" dataDxfId="80" dataCellStyle="Vírgula"/>
    <tableColumn id="7" xr3:uid="{48DB6C35-BA8D-45F8-B75D-187899B8AAB7}" name="Potencial Ganho" dataDxfId="79" dataCellStyle="Porcentagem"/>
    <tableColumn id="8" xr3:uid="{204A3A88-CA1E-411E-87F3-6AD68B4C665A}" name="Realizado" dataDxfId="78" dataCellStyle="Vírgula"/>
    <tableColumn id="12" xr3:uid="{F8B1F140-7557-42E9-9EB2-F9C84D44463C}" name="% da Meta 1" dataDxfId="77" dataCellStyle="Porcentagem"/>
    <tableColumn id="9" xr3:uid="{C5C90530-3009-4EE8-A0BB-6CC540C29A70}" name="Faixa" dataDxfId="76"/>
    <tableColumn id="10" xr3:uid="{ABB3BEA4-8878-4B21-A57A-117D2F42B3B4}" name="Ganho" dataDxfId="75" dataCellStyle="Porcentage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76526-113C-4232-9C7F-ED21D262E981}" name="TB_SORTIMENTO_POND" displayName="TB_SORTIMENTO_POND" ref="B8:K320" totalsRowShown="0" headerRowDxfId="65" dataDxfId="64">
  <autoFilter ref="B8:K320" xr:uid="{6AF76526-113C-4232-9C7F-ED21D262E981}"/>
  <tableColumns count="10">
    <tableColumn id="1" xr3:uid="{70462B59-80DF-47F8-85D2-4C0EED5CBA92}" name="Região do Sortimento" dataDxfId="63"/>
    <tableColumn id="2" xr3:uid="{0581EADB-E1D8-4D4E-AB1F-ABCF66C6251A}" name="AE" dataDxfId="62"/>
    <tableColumn id="3" xr3:uid="{AB652728-0371-4E9E-BD35-635796DB6706}" name="BU" dataDxfId="61"/>
    <tableColumn id="4" xr3:uid="{B812C714-D502-4F4C-81F2-1ED7917A6DB4}" name="Categoria" dataDxfId="60"/>
    <tableColumn id="5" xr3:uid="{BFCBCFB7-E329-4C9C-BB74-C29505AFEFD3}" name="Descricao" dataDxfId="59"/>
    <tableColumn id="6" xr3:uid="{9A678B47-CE8D-4B34-8C0B-AA45CC0D7372}" name="EAN Regular" dataDxfId="58"/>
    <tableColumn id="7" xr3:uid="{20C660B7-A423-4EA8-9D57-51C188EA5796}" name="Outros EANS válidos" dataDxfId="57"/>
    <tableColumn id="10" xr3:uid="{610B1D60-4A29-4D4A-B187-CD0DD9DFD8AB}" name="Total de Redes" dataDxfId="56"/>
    <tableColumn id="8" xr3:uid="{DBBC44BA-00D7-41A2-94B7-7F8EE7295D19}" name="Redes com Compra no mês" dataDxfId="55"/>
    <tableColumn id="9" xr3:uid="{0DAF926D-EBFC-47D3-BFA6-0965BE18D7B1}" name="% das Redes" dataDxfId="54" dataCellStyle="Porcentage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653739-F875-4D30-A6D4-143F605A695B}" name="TB_SORTIMENTO_NUM" displayName="TB_SORTIMENTO_NUM" ref="B8:I85" totalsRowShown="0" headerRowDxfId="53" dataDxfId="52">
  <autoFilter ref="B8:I85" xr:uid="{89653739-F875-4D30-A6D4-143F605A695B}"/>
  <tableColumns count="8">
    <tableColumn id="1" xr3:uid="{F012D9F9-4AA9-4DD8-8D2C-386F463D46BD}" name="Região do Sortimento" dataDxfId="51"/>
    <tableColumn id="2" xr3:uid="{C930A51D-467F-4F88-99D7-DC0DAF4C88DC}" name="AE" dataDxfId="50"/>
    <tableColumn id="3" xr3:uid="{2172EEA3-6E07-439C-9317-D4BC4CD2DB72}" name="BU" dataDxfId="49"/>
    <tableColumn id="4" xr3:uid="{E392C421-19F5-455C-BB4E-F901EBE62E4D}" name="Categoria" dataDxfId="48"/>
    <tableColumn id="5" xr3:uid="{0E460137-2D05-4B06-ACE2-BE9A10A7F8EB}" name="PPA" dataDxfId="47"/>
    <tableColumn id="8" xr3:uid="{09F3908B-349C-408C-BD3B-111223AC241F}" name="Qtde de Lojas da Numérica A e B" dataDxfId="46"/>
    <tableColumn id="6" xr3:uid="{D35D2950-2C90-4B51-8B9F-9F281297DAD7}" name="Qtde de Lojas da Numérica A e B com compra do PPA no bimestre móvel" dataDxfId="45"/>
    <tableColumn id="7" xr3:uid="{88E10F0B-E51E-4A14-9392-78DBAECBE14A}" name="% das Lojas da Numérica A e B com compra do PPA no bimestre móvel" dataDxfId="44" dataCellStyle="Porcentage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A47C04-14E2-46CF-A2C3-37D7752CFC50}" name="TB_EANS_PPA" displayName="TB_EANS_PPA" ref="B8:H934" totalsRowShown="0" headerRowDxfId="43" dataDxfId="42">
  <autoFilter ref="B8:H934" xr:uid="{12A47C04-14E2-46CF-A2C3-37D7752CFC50}"/>
  <tableColumns count="7">
    <tableColumn id="1" xr3:uid="{EA0D1BC5-0C18-4157-92A9-CCCBDF42516D}" name="Região do Sortimento" dataDxfId="41"/>
    <tableColumn id="2" xr3:uid="{F77A144A-8119-460F-ADF0-928B6A88BB30}" name="AE" dataDxfId="40"/>
    <tableColumn id="3" xr3:uid="{D1AD7BA7-0288-4906-8914-B01801D72609}" name="BU" dataDxfId="39"/>
    <tableColumn id="4" xr3:uid="{5C5C0594-8D3E-4AAA-BF64-C6A5C37F990F}" name="Categoria" dataDxfId="38"/>
    <tableColumn id="5" xr3:uid="{004D5BE0-7D5A-472C-9294-8455DF372558}" name="PPA" dataDxfId="37"/>
    <tableColumn id="6" xr3:uid="{B0A59FAE-56CE-4E50-94C5-291E32EB73ED}" name="Descrição" dataDxfId="36"/>
    <tableColumn id="7" xr3:uid="{CC413941-E897-43BE-B4DC-8432EA5C62DE}" name="EAN Regular " dataDxfId="3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4CCB61-2747-4EC0-BA98-BA1A690A74E3}" name="TB_METAS_EXECUCAO" displayName="TB_METAS_EXECUCAO" ref="B8:H20" totalsRowShown="0" headerRowDxfId="34" dataDxfId="33">
  <autoFilter ref="B8:H20" xr:uid="{F74CCB61-2747-4EC0-BA98-BA1A690A74E3}"/>
  <tableColumns count="7">
    <tableColumn id="1" xr3:uid="{35BE2B13-BBB6-4203-AE52-94D75DC803C1}" name="Região" dataDxfId="32"/>
    <tableColumn id="6" xr3:uid="{59B5CFC4-6263-410E-AEDF-32B3D2510409}" name="Sub Região" dataDxfId="31"/>
    <tableColumn id="7" xr3:uid="{E1D77274-B596-4042-BB98-67D2E502A017}" name="AE" dataDxfId="30"/>
    <tableColumn id="2" xr3:uid="{6D52BC77-84B2-44A6-942B-F70BA6E5862D}" name="BU" dataDxfId="29"/>
    <tableColumn id="3" xr3:uid="{4090C591-09C2-469C-A7A1-7C9D4902862E}" name="Tipo" dataDxfId="28"/>
    <tableColumn id="4" xr3:uid="{7BC1FC40-8F4C-46EA-859A-9C287E5C80C0}" name="Pergunta" dataDxfId="27"/>
    <tableColumn id="5" xr3:uid="{A5AFCDEF-ACC9-4079-8CFB-542D728A4CB7}" name="Preço Máximo" dataDxfId="2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AD441B-E9B3-470E-8599-0E3FBD0ED815}" name="TB_RESUMO_PONDERADA" displayName="TB_RESUMO_PONDERADA" ref="B8:P77" totalsRowShown="0" headerRowDxfId="25" dataDxfId="24">
  <autoFilter ref="B8:P77" xr:uid="{01AD441B-E9B3-470E-8599-0E3FBD0ED815}"/>
  <tableColumns count="15">
    <tableColumn id="15" xr3:uid="{A46D4F84-F858-459C-8314-605CAA8F07DD}" name="Região" dataDxfId="23"/>
    <tableColumn id="14" xr3:uid="{8BC18426-CF57-4A42-8232-FD62E963F233}" name="AE" dataDxfId="22"/>
    <tableColumn id="1" xr3:uid="{545DF62A-0488-45EA-BCD3-1F8ABC917857}" name="Prefixo da Rede" dataDxfId="21"/>
    <tableColumn id="2" xr3:uid="{023F084C-D83A-44D2-94A6-55EEBD500489}" name="Classificação Ponderada" dataDxfId="20"/>
    <tableColumn id="3" xr3:uid="{DC0857AB-6B3E-424B-8FF1-54ED64F55DAF}" name="Qtde de Lojas na Rede" dataDxfId="19"/>
    <tableColumn id="4" xr3:uid="{132A9D4E-38E6-4D3D-8599-0FA527D75CA4}" name="Nome da Rede" dataDxfId="18"/>
    <tableColumn id="5" xr3:uid="{07396A1B-3096-44C4-9611-6551AA55669C}" name="Estado" dataDxfId="17"/>
    <tableColumn id="6" xr3:uid="{7E893A7E-7D64-4E00-B4CF-7C98221CAE98}" name="BU" dataDxfId="16"/>
    <tableColumn id="7" xr3:uid="{2D6414DC-5E33-47B5-8ECD-EF99B35C9B8E}" name="Valo Mínimo para considerar Positivada" dataDxfId="15" dataCellStyle="Moeda"/>
    <tableColumn id="8" xr3:uid="{BB04E42A-B733-474A-B118-5B50ABE19CCF}" name="Valor Faturado" dataDxfId="14" dataCellStyle="Moeda"/>
    <tableColumn id="9" xr3:uid="{06E34267-1084-45FE-8583-0CEDFB458CED}" name="Positivada" dataDxfId="13"/>
    <tableColumn id="10" xr3:uid="{66436B88-9AEE-4212-98BA-4B65A1FBE1CA}" name="EANS" dataDxfId="12"/>
    <tableColumn id="11" xr3:uid="{5975C761-E5A0-44F9-8C75-DF48EA02A1EC}" name="Qtde de Lojas que reponderam pesquisa no MiraPDV" dataDxfId="11"/>
    <tableColumn id="12" xr3:uid="{4CAB3007-83D3-459E-806A-4121E45B989B}" name="Qtde de Lojas com Execução OK (Dois preços e um PE)" dataDxfId="10"/>
    <tableColumn id="13" xr3:uid="{7449A1DF-B894-4392-959F-D6F4F0AF2CD5}" name="Compliance Execução (50% das Lojas com execução OK)" dataDxfId="9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2BD857-8E17-4DAB-8CDE-095679EDE1B3}" name="TB_Data" displayName="TB_Data" ref="A1:C2" totalsRowShown="0" dataDxfId="8">
  <autoFilter ref="A1:C2" xr:uid="{CF2BD857-8E17-4DAB-8CDE-095679EDE1B3}"/>
  <tableColumns count="3">
    <tableColumn id="1" xr3:uid="{5517FFCD-E11D-4FEC-A28C-BD900A81017B}" name="Data" dataDxfId="7"/>
    <tableColumn id="2" xr3:uid="{E0D9451E-6E01-4656-824D-65A670E9E487}" name="Periodo" dataDxfId="6"/>
    <tableColumn id="3" xr3:uid="{5846DCC1-8CE5-4188-82DE-2C66152F790B}" name="Periodo_Fechado_Aberto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D291-5607-416C-847F-8A6D0D533CDB}">
  <dimension ref="B3:L74"/>
  <sheetViews>
    <sheetView showGridLines="0" showRowColHeaders="0" topLeftCell="A3" workbookViewId="0">
      <selection activeCell="K14" sqref="K14"/>
    </sheetView>
  </sheetViews>
  <sheetFormatPr defaultRowHeight="15" x14ac:dyDescent="0.25"/>
  <cols>
    <col min="4" max="4" width="34.42578125" customWidth="1"/>
    <col min="5" max="5" width="11.7109375" customWidth="1"/>
    <col min="6" max="6" width="12.140625" customWidth="1"/>
    <col min="7" max="7" width="11.85546875" customWidth="1"/>
    <col min="8" max="8" width="12" customWidth="1"/>
  </cols>
  <sheetData>
    <row r="3" spans="2:12" ht="15.75" x14ac:dyDescent="0.25">
      <c r="D3" s="1"/>
    </row>
    <row r="5" spans="2:12" x14ac:dyDescent="0.25">
      <c r="B5" s="81" t="str" cm="1">
        <f t="array" ref="B5">"Período: " &amp;TB_Data[Periodo] &amp;TB_Data[Periodo_Fechado_Aberto]</f>
        <v>Período: Maio/2026 - Parcial</v>
      </c>
      <c r="C5" s="78"/>
    </row>
    <row r="6" spans="2:12" x14ac:dyDescent="0.25">
      <c r="B6" s="83" t="str" cm="1">
        <f t="array" ref="B6">"Data de referência: "&amp;TB_Data[Data]</f>
        <v>Data de referência: 26/05/2026</v>
      </c>
      <c r="D6" s="76"/>
    </row>
    <row r="7" spans="2:12" x14ac:dyDescent="0.25">
      <c r="B7" s="77"/>
      <c r="D7" s="76"/>
    </row>
    <row r="8" spans="2:12" x14ac:dyDescent="0.25">
      <c r="B8" s="2" t="s">
        <v>0</v>
      </c>
    </row>
    <row r="9" spans="2:12" x14ac:dyDescent="0.25">
      <c r="B9" t="s">
        <v>1</v>
      </c>
    </row>
    <row r="10" spans="2:12" ht="15" customHeight="1" x14ac:dyDescent="0.25">
      <c r="B10" s="108" t="s">
        <v>2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</row>
    <row r="12" spans="2:12" x14ac:dyDescent="0.25">
      <c r="B12" s="113" t="s">
        <v>3</v>
      </c>
      <c r="C12" s="114"/>
      <c r="D12" s="114"/>
      <c r="E12" s="114"/>
      <c r="F12" s="114"/>
      <c r="G12" s="114"/>
      <c r="H12" s="114"/>
      <c r="I12" s="114"/>
      <c r="J12" s="115"/>
    </row>
    <row r="13" spans="2:12" x14ac:dyDescent="0.25">
      <c r="B13" s="125" t="s">
        <v>4</v>
      </c>
      <c r="C13" s="126"/>
      <c r="D13" s="127"/>
      <c r="E13" s="3" t="s">
        <v>5</v>
      </c>
      <c r="F13" s="128" t="s">
        <v>6</v>
      </c>
      <c r="G13" s="126"/>
      <c r="H13" s="127"/>
      <c r="I13" s="128" t="s">
        <v>7</v>
      </c>
      <c r="J13" s="129"/>
    </row>
    <row r="14" spans="2:12" ht="30" x14ac:dyDescent="0.25">
      <c r="B14" s="116" t="s">
        <v>8</v>
      </c>
      <c r="C14" s="117"/>
      <c r="D14" s="118"/>
      <c r="E14" s="4" t="s">
        <v>9</v>
      </c>
      <c r="F14" s="5" t="s">
        <v>10</v>
      </c>
      <c r="G14" s="6" t="s">
        <v>11</v>
      </c>
      <c r="H14" s="7" t="s">
        <v>12</v>
      </c>
      <c r="I14" s="8" t="s">
        <v>13</v>
      </c>
      <c r="J14" s="7" t="s">
        <v>14</v>
      </c>
    </row>
    <row r="15" spans="2:12" x14ac:dyDescent="0.25">
      <c r="B15" s="130" t="s">
        <v>15</v>
      </c>
      <c r="C15" s="131"/>
      <c r="D15" s="132"/>
      <c r="E15" s="9" t="s">
        <v>16</v>
      </c>
      <c r="F15" s="10" t="s">
        <v>16</v>
      </c>
      <c r="G15" s="11" t="s">
        <v>16</v>
      </c>
      <c r="H15" s="12" t="s">
        <v>16</v>
      </c>
      <c r="I15" s="13"/>
      <c r="J15" s="14"/>
    </row>
    <row r="16" spans="2:12" x14ac:dyDescent="0.25">
      <c r="B16" s="133" t="s">
        <v>17</v>
      </c>
      <c r="C16" s="134"/>
      <c r="D16" s="135"/>
      <c r="E16" s="15" t="s">
        <v>16</v>
      </c>
      <c r="F16" s="16" t="s">
        <v>16</v>
      </c>
      <c r="G16" s="17" t="s">
        <v>16</v>
      </c>
      <c r="H16" s="18" t="s">
        <v>16</v>
      </c>
      <c r="I16" s="19"/>
      <c r="J16" s="20"/>
    </row>
    <row r="17" spans="2:11" x14ac:dyDescent="0.25">
      <c r="B17" s="130" t="s">
        <v>18</v>
      </c>
      <c r="C17" s="131"/>
      <c r="D17" s="132"/>
      <c r="E17" s="9" t="s">
        <v>16</v>
      </c>
      <c r="F17" s="21"/>
      <c r="G17" s="22"/>
      <c r="H17" s="14"/>
      <c r="I17" s="23" t="s">
        <v>16</v>
      </c>
      <c r="J17" s="12" t="s">
        <v>16</v>
      </c>
    </row>
    <row r="18" spans="2:11" x14ac:dyDescent="0.25">
      <c r="B18" s="136" t="s">
        <v>19</v>
      </c>
      <c r="C18" s="137"/>
      <c r="D18" s="138"/>
      <c r="E18" s="24" t="s">
        <v>16</v>
      </c>
      <c r="F18" s="25"/>
      <c r="G18" s="26"/>
      <c r="H18" s="27"/>
      <c r="I18" s="28" t="s">
        <v>16</v>
      </c>
      <c r="J18" s="29" t="s">
        <v>16</v>
      </c>
    </row>
    <row r="19" spans="2:11" x14ac:dyDescent="0.25">
      <c r="B19" s="133" t="s">
        <v>20</v>
      </c>
      <c r="C19" s="134"/>
      <c r="D19" s="135"/>
      <c r="E19" s="15" t="s">
        <v>16</v>
      </c>
      <c r="F19" s="30"/>
      <c r="G19" s="31"/>
      <c r="H19" s="20"/>
      <c r="I19" s="32" t="s">
        <v>16</v>
      </c>
      <c r="J19" s="20"/>
    </row>
    <row r="20" spans="2:11" ht="15.75" thickBot="1" x14ac:dyDescent="0.3">
      <c r="B20" s="122" t="s">
        <v>21</v>
      </c>
      <c r="C20" s="123"/>
      <c r="D20" s="124"/>
      <c r="E20" s="33" t="s">
        <v>16</v>
      </c>
      <c r="F20" s="34"/>
      <c r="G20" s="35"/>
      <c r="H20" s="36"/>
      <c r="I20" s="37"/>
      <c r="J20" s="36"/>
    </row>
    <row r="22" spans="2:11" ht="15.75" thickBot="1" x14ac:dyDescent="0.3">
      <c r="B22" s="113" t="s">
        <v>22</v>
      </c>
      <c r="C22" s="114"/>
      <c r="D22" s="114"/>
      <c r="E22" s="114"/>
      <c r="F22" s="114"/>
      <c r="G22" s="114"/>
      <c r="H22" s="114"/>
      <c r="I22" s="114"/>
      <c r="J22" s="114"/>
      <c r="K22" s="115"/>
    </row>
    <row r="23" spans="2:11" ht="30" x14ac:dyDescent="0.25">
      <c r="B23" s="116" t="s">
        <v>23</v>
      </c>
      <c r="C23" s="117"/>
      <c r="D23" s="118"/>
      <c r="E23" s="38" t="s">
        <v>9</v>
      </c>
      <c r="F23" s="39" t="s">
        <v>10</v>
      </c>
      <c r="G23" s="40" t="s">
        <v>11</v>
      </c>
      <c r="H23" s="41" t="s">
        <v>12</v>
      </c>
      <c r="I23" s="39" t="s">
        <v>13</v>
      </c>
      <c r="J23" s="41" t="s">
        <v>14</v>
      </c>
      <c r="K23" s="38" t="s">
        <v>24</v>
      </c>
    </row>
    <row r="24" spans="2:11" x14ac:dyDescent="0.25">
      <c r="B24" s="42" t="s">
        <v>25</v>
      </c>
      <c r="C24" s="43"/>
      <c r="D24" s="44"/>
      <c r="E24" s="45">
        <v>1.4999999999999999E-2</v>
      </c>
      <c r="F24" s="46">
        <v>7.4999999999999997E-3</v>
      </c>
      <c r="G24" s="47">
        <v>2.5000000000000001E-3</v>
      </c>
      <c r="H24" s="48">
        <v>7.4999999999999997E-3</v>
      </c>
      <c r="I24" s="46">
        <v>2.500000000000004E-3</v>
      </c>
      <c r="J24" s="48">
        <v>5.0000000000000001E-3</v>
      </c>
      <c r="K24" s="49">
        <v>0.04</v>
      </c>
    </row>
    <row r="25" spans="2:11" x14ac:dyDescent="0.25">
      <c r="B25" s="50" t="s">
        <v>26</v>
      </c>
      <c r="C25" s="51"/>
      <c r="D25" s="52"/>
      <c r="E25" s="53">
        <f t="shared" ref="E25:J25" si="0">E24*50%</f>
        <v>7.4999999999999997E-3</v>
      </c>
      <c r="F25" s="54">
        <f t="shared" si="0"/>
        <v>3.7499999999999999E-3</v>
      </c>
      <c r="G25" s="55">
        <f t="shared" si="0"/>
        <v>1.25E-3</v>
      </c>
      <c r="H25" s="56">
        <f t="shared" si="0"/>
        <v>3.7499999999999999E-3</v>
      </c>
      <c r="I25" s="54">
        <f t="shared" si="0"/>
        <v>1.250000000000002E-3</v>
      </c>
      <c r="J25" s="56">
        <f t="shared" si="0"/>
        <v>2.5000000000000001E-3</v>
      </c>
      <c r="K25" s="57">
        <f t="shared" ref="K25:K27" si="1">SUM(E25:J25)</f>
        <v>0.02</v>
      </c>
    </row>
    <row r="26" spans="2:11" x14ac:dyDescent="0.25">
      <c r="B26" s="58" t="s">
        <v>27</v>
      </c>
      <c r="C26" s="59"/>
      <c r="D26" s="60"/>
      <c r="E26" s="61">
        <f>E24*30%</f>
        <v>4.4999999999999997E-3</v>
      </c>
      <c r="F26" s="62">
        <f t="shared" ref="F26:J26" si="2">F24*30%</f>
        <v>2.2499999999999998E-3</v>
      </c>
      <c r="G26" s="63">
        <f t="shared" si="2"/>
        <v>7.5000000000000002E-4</v>
      </c>
      <c r="H26" s="64">
        <f t="shared" si="2"/>
        <v>2.2499999999999998E-3</v>
      </c>
      <c r="I26" s="62">
        <f t="shared" si="2"/>
        <v>7.5000000000000121E-4</v>
      </c>
      <c r="J26" s="64">
        <f t="shared" si="2"/>
        <v>1.5E-3</v>
      </c>
      <c r="K26" s="65">
        <f t="shared" si="1"/>
        <v>1.1999999999999999E-2</v>
      </c>
    </row>
    <row r="27" spans="2:11" x14ac:dyDescent="0.25">
      <c r="B27" s="66" t="s">
        <v>28</v>
      </c>
      <c r="C27" s="67"/>
      <c r="D27" s="68"/>
      <c r="E27" s="69">
        <v>0</v>
      </c>
      <c r="F27" s="70">
        <v>0</v>
      </c>
      <c r="G27" s="71">
        <v>0</v>
      </c>
      <c r="H27" s="72">
        <v>0</v>
      </c>
      <c r="I27" s="70">
        <v>0</v>
      </c>
      <c r="J27" s="72">
        <v>0</v>
      </c>
      <c r="K27" s="73">
        <f t="shared" si="1"/>
        <v>0</v>
      </c>
    </row>
    <row r="29" spans="2:11" x14ac:dyDescent="0.25">
      <c r="B29" s="119" t="s">
        <v>29</v>
      </c>
      <c r="C29" s="120"/>
      <c r="D29" s="120"/>
      <c r="E29" s="120"/>
      <c r="F29" s="120"/>
      <c r="G29" s="120"/>
      <c r="H29" s="120"/>
      <c r="I29" s="121"/>
    </row>
    <row r="30" spans="2:11" ht="33.75" customHeight="1" x14ac:dyDescent="0.25">
      <c r="B30" s="91" t="s">
        <v>30</v>
      </c>
      <c r="C30" s="91" t="s">
        <v>9</v>
      </c>
      <c r="D30" s="91" t="s">
        <v>10</v>
      </c>
      <c r="E30" s="91" t="s">
        <v>11</v>
      </c>
      <c r="F30" s="91" t="s">
        <v>31</v>
      </c>
      <c r="G30" s="91" t="s">
        <v>13</v>
      </c>
      <c r="H30" s="91" t="s">
        <v>14</v>
      </c>
      <c r="I30" s="91" t="s">
        <v>24</v>
      </c>
    </row>
    <row r="31" spans="2:11" x14ac:dyDescent="0.25">
      <c r="B31" t="s">
        <v>32</v>
      </c>
      <c r="C31" s="107">
        <v>0</v>
      </c>
      <c r="D31" s="107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0.04</v>
      </c>
    </row>
    <row r="32" spans="2:11" x14ac:dyDescent="0.25">
      <c r="B32" t="s">
        <v>33</v>
      </c>
      <c r="C32" s="107">
        <v>0</v>
      </c>
      <c r="D32" s="107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0.04</v>
      </c>
    </row>
    <row r="33" spans="2:9" x14ac:dyDescent="0.25">
      <c r="B33" t="s">
        <v>34</v>
      </c>
      <c r="C33" s="107">
        <v>0</v>
      </c>
      <c r="D33" s="107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0.04</v>
      </c>
    </row>
    <row r="34" spans="2:9" x14ac:dyDescent="0.25">
      <c r="B34" t="s">
        <v>35</v>
      </c>
      <c r="C34" s="107">
        <v>0</v>
      </c>
      <c r="D34" s="107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0.04</v>
      </c>
    </row>
    <row r="36" spans="2:9" x14ac:dyDescent="0.25">
      <c r="B36" s="86" t="s">
        <v>36</v>
      </c>
    </row>
    <row r="37" spans="2:9" x14ac:dyDescent="0.25">
      <c r="B37" t="s">
        <v>37</v>
      </c>
    </row>
    <row r="38" spans="2:9" x14ac:dyDescent="0.25">
      <c r="B38" t="s">
        <v>38</v>
      </c>
    </row>
    <row r="39" spans="2:9" x14ac:dyDescent="0.25">
      <c r="B39" t="s">
        <v>39</v>
      </c>
    </row>
    <row r="41" spans="2:9" x14ac:dyDescent="0.25">
      <c r="B41" s="86" t="s">
        <v>40</v>
      </c>
    </row>
    <row r="42" spans="2:9" x14ac:dyDescent="0.25">
      <c r="B42" t="s">
        <v>41</v>
      </c>
    </row>
    <row r="44" spans="2:9" x14ac:dyDescent="0.25">
      <c r="B44" s="86" t="s">
        <v>42</v>
      </c>
    </row>
    <row r="45" spans="2:9" x14ac:dyDescent="0.25">
      <c r="B45" t="s">
        <v>43</v>
      </c>
    </row>
    <row r="46" spans="2:9" x14ac:dyDescent="0.25">
      <c r="B46" t="s">
        <v>44</v>
      </c>
    </row>
    <row r="48" spans="2:9" ht="30.75" customHeight="1" x14ac:dyDescent="0.25">
      <c r="B48" s="91" t="s">
        <v>45</v>
      </c>
      <c r="C48" s="91" t="s">
        <v>46</v>
      </c>
      <c r="D48" s="91" t="s">
        <v>47</v>
      </c>
    </row>
    <row r="49" spans="2:4" x14ac:dyDescent="0.25">
      <c r="B49" t="s">
        <v>48</v>
      </c>
      <c r="C49" t="s">
        <v>34</v>
      </c>
      <c r="D49" s="75">
        <v>0</v>
      </c>
    </row>
    <row r="50" spans="2:4" x14ac:dyDescent="0.25">
      <c r="B50" t="s">
        <v>48</v>
      </c>
      <c r="C50" t="s">
        <v>33</v>
      </c>
      <c r="D50" s="75">
        <v>0</v>
      </c>
    </row>
    <row r="51" spans="2:4" x14ac:dyDescent="0.25">
      <c r="B51" t="s">
        <v>48</v>
      </c>
      <c r="C51" t="s">
        <v>35</v>
      </c>
      <c r="D51" s="75">
        <v>0</v>
      </c>
    </row>
    <row r="52" spans="2:4" x14ac:dyDescent="0.25">
      <c r="B52" t="s">
        <v>48</v>
      </c>
      <c r="C52" t="s">
        <v>32</v>
      </c>
      <c r="D52" s="75">
        <v>0</v>
      </c>
    </row>
    <row r="54" spans="2:4" x14ac:dyDescent="0.25">
      <c r="B54" s="86" t="s">
        <v>49</v>
      </c>
    </row>
    <row r="55" spans="2:4" x14ac:dyDescent="0.25">
      <c r="B55" t="s">
        <v>50</v>
      </c>
    </row>
    <row r="56" spans="2:4" x14ac:dyDescent="0.25">
      <c r="B56" s="2" t="s">
        <v>51</v>
      </c>
    </row>
    <row r="57" spans="2:4" x14ac:dyDescent="0.25">
      <c r="B57" t="s">
        <v>52</v>
      </c>
    </row>
    <row r="59" spans="2:4" x14ac:dyDescent="0.25">
      <c r="B59" s="86" t="s">
        <v>53</v>
      </c>
    </row>
    <row r="60" spans="2:4" x14ac:dyDescent="0.25">
      <c r="B60" t="s">
        <v>54</v>
      </c>
    </row>
    <row r="61" spans="2:4" x14ac:dyDescent="0.25">
      <c r="B61" t="s">
        <v>55</v>
      </c>
    </row>
    <row r="62" spans="2:4" x14ac:dyDescent="0.25">
      <c r="B62" t="s">
        <v>56</v>
      </c>
    </row>
    <row r="63" spans="2:4" x14ac:dyDescent="0.25">
      <c r="B63" t="s">
        <v>57</v>
      </c>
    </row>
    <row r="64" spans="2:4" x14ac:dyDescent="0.25">
      <c r="B64" t="s">
        <v>58</v>
      </c>
    </row>
    <row r="66" spans="2:2" x14ac:dyDescent="0.25">
      <c r="B66" s="86" t="s">
        <v>59</v>
      </c>
    </row>
    <row r="67" spans="2:2" x14ac:dyDescent="0.25">
      <c r="B67" t="s">
        <v>60</v>
      </c>
    </row>
    <row r="69" spans="2:2" x14ac:dyDescent="0.25">
      <c r="B69" s="86" t="s">
        <v>42</v>
      </c>
    </row>
    <row r="70" spans="2:2" x14ac:dyDescent="0.25">
      <c r="B70" t="s">
        <v>61</v>
      </c>
    </row>
    <row r="71" spans="2:2" x14ac:dyDescent="0.25">
      <c r="B71" t="s">
        <v>62</v>
      </c>
    </row>
    <row r="73" spans="2:2" x14ac:dyDescent="0.25">
      <c r="B73" s="86" t="s">
        <v>49</v>
      </c>
    </row>
    <row r="74" spans="2:2" x14ac:dyDescent="0.25">
      <c r="B74" t="s">
        <v>63</v>
      </c>
    </row>
  </sheetData>
  <mergeCells count="14">
    <mergeCell ref="B22:K22"/>
    <mergeCell ref="B23:D23"/>
    <mergeCell ref="B29:I29"/>
    <mergeCell ref="B20:D20"/>
    <mergeCell ref="B12:J12"/>
    <mergeCell ref="B13:D13"/>
    <mergeCell ref="F13:H13"/>
    <mergeCell ref="I13:J13"/>
    <mergeCell ref="B14:D14"/>
    <mergeCell ref="B15:D15"/>
    <mergeCell ref="B16:D16"/>
    <mergeCell ref="B17:D17"/>
    <mergeCell ref="B18:D18"/>
    <mergeCell ref="B19:D19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CFD4-68C7-48DF-A696-02D4C1BD22D4}">
  <dimension ref="B4:N33"/>
  <sheetViews>
    <sheetView showGridLines="0" showRowColHeaders="0" tabSelected="1" topLeftCell="A4" zoomScale="84" workbookViewId="0">
      <selection activeCell="G9" sqref="G9"/>
    </sheetView>
  </sheetViews>
  <sheetFormatPr defaultRowHeight="15" x14ac:dyDescent="0.25"/>
  <cols>
    <col min="2" max="2" width="22.28515625" customWidth="1"/>
    <col min="3" max="3" width="21.42578125" bestFit="1" customWidth="1"/>
    <col min="4" max="4" width="21.42578125" customWidth="1"/>
    <col min="5" max="5" width="9.140625" customWidth="1"/>
    <col min="6" max="6" width="13.5703125" customWidth="1"/>
    <col min="7" max="9" width="17.7109375" customWidth="1"/>
    <col min="10" max="12" width="15.7109375" customWidth="1"/>
    <col min="13" max="13" width="19.140625" customWidth="1"/>
    <col min="14" max="14" width="15.7109375" customWidth="1"/>
  </cols>
  <sheetData>
    <row r="4" spans="2:14" x14ac:dyDescent="0.25">
      <c r="B4" s="85" t="s">
        <v>64</v>
      </c>
      <c r="D4" s="76"/>
      <c r="E4" s="76"/>
    </row>
    <row r="5" spans="2:14" x14ac:dyDescent="0.25">
      <c r="B5" s="81" t="str" cm="1">
        <f t="array" ref="B5">"Período: " &amp;TB_Data[Periodo] &amp;TB_Data[Periodo_Fechado_Aberto]</f>
        <v>Período: Maio/2026 - Parcial</v>
      </c>
      <c r="D5" s="76"/>
      <c r="E5" s="76"/>
    </row>
    <row r="6" spans="2:14" x14ac:dyDescent="0.25">
      <c r="B6" s="83" t="str" cm="1">
        <f t="array" ref="B6">"Data de referência: "&amp;TB_Data[Data]</f>
        <v>Data de referência: 26/05/2026</v>
      </c>
      <c r="D6" s="76"/>
      <c r="E6" s="76"/>
    </row>
    <row r="7" spans="2:14" x14ac:dyDescent="0.25">
      <c r="B7" s="83"/>
      <c r="D7" s="76"/>
      <c r="E7" s="76"/>
    </row>
    <row r="8" spans="2:14" x14ac:dyDescent="0.25">
      <c r="B8" s="102"/>
      <c r="C8" s="102"/>
      <c r="D8" s="102"/>
      <c r="E8" s="102"/>
      <c r="F8" s="102"/>
      <c r="G8" s="103" t="s">
        <v>65</v>
      </c>
      <c r="H8" s="104" t="s">
        <v>66</v>
      </c>
      <c r="I8" s="105" t="s">
        <v>67</v>
      </c>
      <c r="J8" s="102"/>
      <c r="K8" s="102"/>
      <c r="L8" s="102"/>
      <c r="M8" s="102"/>
      <c r="N8" s="102"/>
    </row>
    <row r="9" spans="2:14" ht="27.75" customHeight="1" x14ac:dyDescent="0.25">
      <c r="B9" s="87" t="s">
        <v>68</v>
      </c>
      <c r="C9" s="87" t="s">
        <v>69</v>
      </c>
      <c r="D9" s="88" t="s">
        <v>70</v>
      </c>
      <c r="E9" s="88" t="s">
        <v>46</v>
      </c>
      <c r="F9" s="88" t="s">
        <v>71</v>
      </c>
      <c r="G9" s="99" t="s">
        <v>72</v>
      </c>
      <c r="H9" s="100" t="s">
        <v>73</v>
      </c>
      <c r="I9" s="101" t="s">
        <v>74</v>
      </c>
      <c r="J9" s="87" t="s">
        <v>75</v>
      </c>
      <c r="K9" s="88" t="s">
        <v>76</v>
      </c>
      <c r="L9" s="88" t="s">
        <v>77</v>
      </c>
      <c r="M9" s="88" t="s">
        <v>78</v>
      </c>
      <c r="N9" s="88" t="s">
        <v>79</v>
      </c>
    </row>
    <row r="10" spans="2:14" hidden="1" x14ac:dyDescent="0.25">
      <c r="B10" s="89" t="s">
        <v>80</v>
      </c>
      <c r="C10" s="89" t="s">
        <v>81</v>
      </c>
      <c r="D10" s="89" t="s">
        <v>82</v>
      </c>
      <c r="E10" s="89" t="s">
        <v>34</v>
      </c>
      <c r="F10" s="89" t="s">
        <v>83</v>
      </c>
      <c r="G10" s="109">
        <v>1061</v>
      </c>
      <c r="H10" s="109">
        <v>928</v>
      </c>
      <c r="I10" s="109">
        <v>796</v>
      </c>
      <c r="J10" s="90">
        <v>5.0000000000000001E-3</v>
      </c>
      <c r="K10" s="109">
        <v>0</v>
      </c>
      <c r="L10" s="94">
        <v>0</v>
      </c>
      <c r="M10" s="89" t="s">
        <v>84</v>
      </c>
      <c r="N10" s="110">
        <v>0</v>
      </c>
    </row>
    <row r="11" spans="2:14" hidden="1" x14ac:dyDescent="0.25">
      <c r="B11" s="89" t="s">
        <v>80</v>
      </c>
      <c r="C11" s="89" t="s">
        <v>81</v>
      </c>
      <c r="D11" s="89" t="s">
        <v>85</v>
      </c>
      <c r="E11" s="89" t="s">
        <v>34</v>
      </c>
      <c r="F11" s="89" t="s">
        <v>86</v>
      </c>
      <c r="G11" s="109">
        <v>17</v>
      </c>
      <c r="H11" s="109">
        <v>5.0999999999999996</v>
      </c>
      <c r="I11" s="109">
        <v>4.5</v>
      </c>
      <c r="J11" s="90">
        <v>5.0000000000000044E-3</v>
      </c>
      <c r="K11" s="109">
        <v>0</v>
      </c>
      <c r="L11" s="94">
        <v>0</v>
      </c>
      <c r="M11" s="89" t="s">
        <v>84</v>
      </c>
      <c r="N11" s="110">
        <v>0</v>
      </c>
    </row>
    <row r="12" spans="2:14" hidden="1" x14ac:dyDescent="0.25">
      <c r="B12" s="89" t="s">
        <v>80</v>
      </c>
      <c r="C12" s="89" t="s">
        <v>81</v>
      </c>
      <c r="D12" s="89" t="s">
        <v>87</v>
      </c>
      <c r="E12" s="89" t="s">
        <v>34</v>
      </c>
      <c r="F12" s="89" t="s">
        <v>88</v>
      </c>
      <c r="G12" s="109">
        <v>38</v>
      </c>
      <c r="H12" s="109">
        <v>27.4</v>
      </c>
      <c r="I12" s="109">
        <v>16.899999999999999</v>
      </c>
      <c r="J12" s="90">
        <v>7.4999999999999997E-3</v>
      </c>
      <c r="K12" s="109">
        <v>0</v>
      </c>
      <c r="L12" s="94">
        <v>0</v>
      </c>
      <c r="M12" s="89" t="s">
        <v>84</v>
      </c>
      <c r="N12" s="110">
        <v>0</v>
      </c>
    </row>
    <row r="13" spans="2:14" hidden="1" x14ac:dyDescent="0.25">
      <c r="B13" s="89" t="s">
        <v>80</v>
      </c>
      <c r="C13" s="89" t="s">
        <v>81</v>
      </c>
      <c r="D13" s="89" t="s">
        <v>89</v>
      </c>
      <c r="E13" s="89" t="s">
        <v>34</v>
      </c>
      <c r="F13" s="89" t="s">
        <v>90</v>
      </c>
      <c r="G13" s="109">
        <v>5892997</v>
      </c>
      <c r="H13" s="109">
        <v>5745672</v>
      </c>
      <c r="I13" s="109">
        <v>5598347</v>
      </c>
      <c r="J13" s="90">
        <v>1.4999999999999999E-2</v>
      </c>
      <c r="K13" s="109">
        <v>0</v>
      </c>
      <c r="L13" s="94">
        <v>0</v>
      </c>
      <c r="M13" s="89" t="s">
        <v>84</v>
      </c>
      <c r="N13" s="110">
        <v>0</v>
      </c>
    </row>
    <row r="14" spans="2:14" hidden="1" x14ac:dyDescent="0.25">
      <c r="B14" s="89" t="s">
        <v>80</v>
      </c>
      <c r="C14" s="89" t="s">
        <v>81</v>
      </c>
      <c r="D14" s="89" t="s">
        <v>91</v>
      </c>
      <c r="E14" s="89" t="s">
        <v>34</v>
      </c>
      <c r="F14" s="89" t="s">
        <v>92</v>
      </c>
      <c r="G14" s="109">
        <v>17</v>
      </c>
      <c r="H14" s="109">
        <v>16</v>
      </c>
      <c r="I14" s="109">
        <v>15</v>
      </c>
      <c r="J14" s="90">
        <v>2.5000000000000001E-3</v>
      </c>
      <c r="K14" s="109">
        <v>0</v>
      </c>
      <c r="L14" s="94">
        <v>0</v>
      </c>
      <c r="M14" s="89" t="s">
        <v>84</v>
      </c>
      <c r="N14" s="110">
        <v>0</v>
      </c>
    </row>
    <row r="15" spans="2:14" hidden="1" x14ac:dyDescent="0.25">
      <c r="B15" s="89" t="s">
        <v>80</v>
      </c>
      <c r="C15" s="89" t="s">
        <v>81</v>
      </c>
      <c r="D15" s="89" t="s">
        <v>93</v>
      </c>
      <c r="E15" s="89" t="s">
        <v>34</v>
      </c>
      <c r="F15" s="89" t="s">
        <v>92</v>
      </c>
      <c r="G15" s="109">
        <v>14</v>
      </c>
      <c r="H15" s="109">
        <v>13</v>
      </c>
      <c r="I15" s="109">
        <v>12</v>
      </c>
      <c r="J15" s="90">
        <v>5.0000000000000001E-3</v>
      </c>
      <c r="K15" s="109">
        <v>0</v>
      </c>
      <c r="L15" s="94">
        <v>0</v>
      </c>
      <c r="M15" s="89" t="s">
        <v>84</v>
      </c>
      <c r="N15" s="110">
        <v>0</v>
      </c>
    </row>
    <row r="16" spans="2:14" hidden="1" x14ac:dyDescent="0.25">
      <c r="B16" s="89" t="s">
        <v>80</v>
      </c>
      <c r="C16" s="89" t="s">
        <v>81</v>
      </c>
      <c r="D16" s="89" t="s">
        <v>82</v>
      </c>
      <c r="E16" s="89" t="s">
        <v>33</v>
      </c>
      <c r="F16" s="89" t="s">
        <v>83</v>
      </c>
      <c r="G16" s="109">
        <v>629</v>
      </c>
      <c r="H16" s="109">
        <v>550</v>
      </c>
      <c r="I16" s="109">
        <v>472</v>
      </c>
      <c r="J16" s="90">
        <v>5.0000000000000001E-3</v>
      </c>
      <c r="K16" s="109">
        <v>0</v>
      </c>
      <c r="L16" s="94">
        <v>0</v>
      </c>
      <c r="M16" s="89" t="s">
        <v>84</v>
      </c>
      <c r="N16" s="110">
        <v>0</v>
      </c>
    </row>
    <row r="17" spans="2:14" hidden="1" x14ac:dyDescent="0.25">
      <c r="B17" s="89" t="s">
        <v>80</v>
      </c>
      <c r="C17" s="89" t="s">
        <v>81</v>
      </c>
      <c r="D17" s="89" t="s">
        <v>85</v>
      </c>
      <c r="E17" s="89" t="s">
        <v>33</v>
      </c>
      <c r="F17" s="89" t="s">
        <v>86</v>
      </c>
      <c r="G17" s="109">
        <v>7</v>
      </c>
      <c r="H17" s="109">
        <v>3</v>
      </c>
      <c r="I17" s="109">
        <v>2.6</v>
      </c>
      <c r="J17" s="90">
        <v>2.500000000000004E-3</v>
      </c>
      <c r="K17" s="109">
        <v>0</v>
      </c>
      <c r="L17" s="94">
        <v>0</v>
      </c>
      <c r="M17" s="89" t="s">
        <v>84</v>
      </c>
      <c r="N17" s="110">
        <v>0</v>
      </c>
    </row>
    <row r="18" spans="2:14" hidden="1" x14ac:dyDescent="0.25">
      <c r="B18" s="89" t="s">
        <v>80</v>
      </c>
      <c r="C18" s="89" t="s">
        <v>81</v>
      </c>
      <c r="D18" s="89" t="s">
        <v>87</v>
      </c>
      <c r="E18" s="89" t="s">
        <v>33</v>
      </c>
      <c r="F18" s="89" t="s">
        <v>88</v>
      </c>
      <c r="G18" s="109">
        <v>21</v>
      </c>
      <c r="H18" s="109">
        <v>14.6</v>
      </c>
      <c r="I18" s="109">
        <v>8.1999999999999993</v>
      </c>
      <c r="J18" s="90">
        <v>7.4999999999999997E-3</v>
      </c>
      <c r="K18" s="109">
        <v>0</v>
      </c>
      <c r="L18" s="94">
        <v>0</v>
      </c>
      <c r="M18" s="89" t="s">
        <v>84</v>
      </c>
      <c r="N18" s="110">
        <v>0</v>
      </c>
    </row>
    <row r="19" spans="2:14" hidden="1" x14ac:dyDescent="0.25">
      <c r="B19" s="89" t="s">
        <v>80</v>
      </c>
      <c r="C19" s="89" t="s">
        <v>81</v>
      </c>
      <c r="D19" s="89" t="s">
        <v>89</v>
      </c>
      <c r="E19" s="89" t="s">
        <v>33</v>
      </c>
      <c r="F19" s="89" t="s">
        <v>90</v>
      </c>
      <c r="G19" s="109">
        <v>1676424</v>
      </c>
      <c r="H19" s="109">
        <v>1634513</v>
      </c>
      <c r="I19" s="109">
        <v>1592603</v>
      </c>
      <c r="J19" s="90">
        <v>1.4999999999999999E-2</v>
      </c>
      <c r="K19" s="109">
        <v>0</v>
      </c>
      <c r="L19" s="94">
        <v>0</v>
      </c>
      <c r="M19" s="89" t="s">
        <v>84</v>
      </c>
      <c r="N19" s="110">
        <v>0</v>
      </c>
    </row>
    <row r="20" spans="2:14" hidden="1" x14ac:dyDescent="0.25">
      <c r="B20" s="89" t="s">
        <v>80</v>
      </c>
      <c r="C20" s="89" t="s">
        <v>81</v>
      </c>
      <c r="D20" s="89" t="s">
        <v>91</v>
      </c>
      <c r="E20" s="89" t="s">
        <v>33</v>
      </c>
      <c r="F20" s="89" t="s">
        <v>92</v>
      </c>
      <c r="G20" s="109">
        <v>14</v>
      </c>
      <c r="H20" s="109">
        <v>13</v>
      </c>
      <c r="I20" s="109">
        <v>12</v>
      </c>
      <c r="J20" s="90">
        <v>2.5000000000000001E-3</v>
      </c>
      <c r="K20" s="109">
        <v>0</v>
      </c>
      <c r="L20" s="94">
        <v>0</v>
      </c>
      <c r="M20" s="89" t="s">
        <v>84</v>
      </c>
      <c r="N20" s="110">
        <v>0</v>
      </c>
    </row>
    <row r="21" spans="2:14" hidden="1" x14ac:dyDescent="0.25">
      <c r="B21" s="89" t="s">
        <v>80</v>
      </c>
      <c r="C21" s="89" t="s">
        <v>81</v>
      </c>
      <c r="D21" s="89" t="s">
        <v>93</v>
      </c>
      <c r="E21" s="89" t="s">
        <v>33</v>
      </c>
      <c r="F21" s="89" t="s">
        <v>92</v>
      </c>
      <c r="G21" s="109">
        <v>12</v>
      </c>
      <c r="H21" s="109">
        <v>11</v>
      </c>
      <c r="I21" s="109">
        <v>10</v>
      </c>
      <c r="J21" s="90">
        <v>7.4999999999999997E-3</v>
      </c>
      <c r="K21" s="109">
        <v>0</v>
      </c>
      <c r="L21" s="94">
        <v>0</v>
      </c>
      <c r="M21" s="89" t="s">
        <v>84</v>
      </c>
      <c r="N21" s="110">
        <v>0</v>
      </c>
    </row>
    <row r="22" spans="2:14" hidden="1" x14ac:dyDescent="0.25">
      <c r="B22" s="89" t="s">
        <v>80</v>
      </c>
      <c r="C22" s="89" t="s">
        <v>81</v>
      </c>
      <c r="D22" s="89" t="s">
        <v>82</v>
      </c>
      <c r="E22" s="89" t="s">
        <v>35</v>
      </c>
      <c r="F22" s="89" t="s">
        <v>83</v>
      </c>
      <c r="G22" s="109">
        <v>1061</v>
      </c>
      <c r="H22" s="109">
        <v>928</v>
      </c>
      <c r="I22" s="109">
        <v>796</v>
      </c>
      <c r="J22" s="90">
        <v>7.4999999999999997E-3</v>
      </c>
      <c r="K22" s="109">
        <v>0</v>
      </c>
      <c r="L22" s="94">
        <v>0</v>
      </c>
      <c r="M22" s="89" t="s">
        <v>84</v>
      </c>
      <c r="N22" s="110">
        <v>0</v>
      </c>
    </row>
    <row r="23" spans="2:14" hidden="1" x14ac:dyDescent="0.25">
      <c r="B23" s="89" t="s">
        <v>80</v>
      </c>
      <c r="C23" s="89" t="s">
        <v>81</v>
      </c>
      <c r="D23" s="89" t="s">
        <v>85</v>
      </c>
      <c r="E23" s="89" t="s">
        <v>35</v>
      </c>
      <c r="F23" s="89" t="s">
        <v>86</v>
      </c>
      <c r="G23" s="109">
        <v>14</v>
      </c>
      <c r="H23" s="109">
        <v>6.5</v>
      </c>
      <c r="I23" s="109">
        <v>5.7</v>
      </c>
      <c r="J23" s="90">
        <v>7.5000000000000032E-3</v>
      </c>
      <c r="K23" s="109">
        <v>0</v>
      </c>
      <c r="L23" s="94">
        <v>0</v>
      </c>
      <c r="M23" s="89" t="s">
        <v>84</v>
      </c>
      <c r="N23" s="110">
        <v>0</v>
      </c>
    </row>
    <row r="24" spans="2:14" hidden="1" x14ac:dyDescent="0.25">
      <c r="B24" s="89" t="s">
        <v>80</v>
      </c>
      <c r="C24" s="89" t="s">
        <v>81</v>
      </c>
      <c r="D24" s="89" t="s">
        <v>87</v>
      </c>
      <c r="E24" s="89" t="s">
        <v>35</v>
      </c>
      <c r="F24" s="89" t="s">
        <v>88</v>
      </c>
      <c r="G24" s="109">
        <v>72</v>
      </c>
      <c r="H24" s="109">
        <v>53.4</v>
      </c>
      <c r="I24" s="109">
        <v>34.9</v>
      </c>
      <c r="J24" s="90">
        <v>5.0000000000000001E-3</v>
      </c>
      <c r="K24" s="109">
        <v>0</v>
      </c>
      <c r="L24" s="94">
        <v>0</v>
      </c>
      <c r="M24" s="89" t="s">
        <v>84</v>
      </c>
      <c r="N24" s="110">
        <v>0</v>
      </c>
    </row>
    <row r="25" spans="2:14" hidden="1" x14ac:dyDescent="0.25">
      <c r="B25" s="89" t="s">
        <v>80</v>
      </c>
      <c r="C25" s="89" t="s">
        <v>81</v>
      </c>
      <c r="D25" s="89" t="s">
        <v>89</v>
      </c>
      <c r="E25" s="89" t="s">
        <v>35</v>
      </c>
      <c r="F25" s="89" t="s">
        <v>90</v>
      </c>
      <c r="G25" s="109">
        <v>3898522</v>
      </c>
      <c r="H25" s="109">
        <v>3801059</v>
      </c>
      <c r="I25" s="109">
        <v>3703596</v>
      </c>
      <c r="J25" s="90">
        <v>1.4999999999999999E-2</v>
      </c>
      <c r="K25" s="109">
        <v>0</v>
      </c>
      <c r="L25" s="94">
        <v>0</v>
      </c>
      <c r="M25" s="89" t="s">
        <v>84</v>
      </c>
      <c r="N25" s="110">
        <v>0</v>
      </c>
    </row>
    <row r="26" spans="2:14" hidden="1" x14ac:dyDescent="0.25">
      <c r="B26" s="89" t="s">
        <v>80</v>
      </c>
      <c r="C26" s="89" t="s">
        <v>81</v>
      </c>
      <c r="D26" s="89" t="s">
        <v>91</v>
      </c>
      <c r="E26" s="89" t="s">
        <v>35</v>
      </c>
      <c r="F26" s="89" t="s">
        <v>92</v>
      </c>
      <c r="G26" s="109">
        <v>17</v>
      </c>
      <c r="H26" s="109">
        <v>16</v>
      </c>
      <c r="I26" s="109">
        <v>15</v>
      </c>
      <c r="J26" s="90">
        <v>2.5000000000000001E-3</v>
      </c>
      <c r="K26" s="109">
        <v>0</v>
      </c>
      <c r="L26" s="94">
        <v>0</v>
      </c>
      <c r="M26" s="89" t="s">
        <v>84</v>
      </c>
      <c r="N26" s="110">
        <v>0</v>
      </c>
    </row>
    <row r="27" spans="2:14" hidden="1" x14ac:dyDescent="0.25">
      <c r="B27" s="89" t="s">
        <v>80</v>
      </c>
      <c r="C27" s="89" t="s">
        <v>81</v>
      </c>
      <c r="D27" s="89" t="s">
        <v>93</v>
      </c>
      <c r="E27" s="89" t="s">
        <v>35</v>
      </c>
      <c r="F27" s="89" t="s">
        <v>92</v>
      </c>
      <c r="G27" s="109">
        <v>14</v>
      </c>
      <c r="H27" s="109">
        <v>13</v>
      </c>
      <c r="I27" s="109">
        <v>12</v>
      </c>
      <c r="J27" s="90">
        <v>2.5000000000000001E-3</v>
      </c>
      <c r="K27" s="109">
        <v>0</v>
      </c>
      <c r="L27" s="94">
        <v>0</v>
      </c>
      <c r="M27" s="89" t="s">
        <v>84</v>
      </c>
      <c r="N27" s="110">
        <v>0</v>
      </c>
    </row>
    <row r="28" spans="2:14" x14ac:dyDescent="0.25">
      <c r="B28" s="89" t="s">
        <v>80</v>
      </c>
      <c r="C28" s="89" t="s">
        <v>81</v>
      </c>
      <c r="D28" s="89" t="s">
        <v>82</v>
      </c>
      <c r="E28" s="89" t="s">
        <v>32</v>
      </c>
      <c r="F28" s="89" t="s">
        <v>83</v>
      </c>
      <c r="G28" s="109">
        <v>1061</v>
      </c>
      <c r="H28" s="109">
        <v>928</v>
      </c>
      <c r="I28" s="109">
        <v>796</v>
      </c>
      <c r="J28" s="90">
        <v>7.4999999999999997E-3</v>
      </c>
      <c r="K28" s="109">
        <v>0</v>
      </c>
      <c r="L28" s="94">
        <v>0</v>
      </c>
      <c r="M28" s="89" t="s">
        <v>84</v>
      </c>
      <c r="N28" s="110">
        <v>0</v>
      </c>
    </row>
    <row r="29" spans="2:14" x14ac:dyDescent="0.25">
      <c r="B29" s="89" t="s">
        <v>80</v>
      </c>
      <c r="C29" s="89" t="s">
        <v>81</v>
      </c>
      <c r="D29" s="89" t="s">
        <v>85</v>
      </c>
      <c r="E29" s="89" t="s">
        <v>32</v>
      </c>
      <c r="F29" s="89" t="s">
        <v>86</v>
      </c>
      <c r="G29" s="109">
        <v>10</v>
      </c>
      <c r="H29" s="109">
        <v>4.0999999999999996</v>
      </c>
      <c r="I29" s="109">
        <v>3.6</v>
      </c>
      <c r="J29" s="90">
        <v>7.5000000000000032E-3</v>
      </c>
      <c r="K29" s="109">
        <v>0</v>
      </c>
      <c r="L29" s="94">
        <v>0</v>
      </c>
      <c r="M29" s="89" t="s">
        <v>84</v>
      </c>
      <c r="N29" s="110">
        <v>0</v>
      </c>
    </row>
    <row r="30" spans="2:14" x14ac:dyDescent="0.25">
      <c r="B30" s="89" t="s">
        <v>80</v>
      </c>
      <c r="C30" s="89" t="s">
        <v>81</v>
      </c>
      <c r="D30" s="89" t="s">
        <v>87</v>
      </c>
      <c r="E30" s="89" t="s">
        <v>32</v>
      </c>
      <c r="F30" s="89" t="s">
        <v>88</v>
      </c>
      <c r="G30" s="109">
        <v>55</v>
      </c>
      <c r="H30" s="109">
        <v>39.299999999999997</v>
      </c>
      <c r="I30" s="109">
        <v>23.7</v>
      </c>
      <c r="J30" s="90">
        <v>5.0000000000000001E-3</v>
      </c>
      <c r="K30" s="109">
        <v>0</v>
      </c>
      <c r="L30" s="94">
        <v>0</v>
      </c>
      <c r="M30" s="89" t="s">
        <v>84</v>
      </c>
      <c r="N30" s="110">
        <v>0</v>
      </c>
    </row>
    <row r="31" spans="2:14" x14ac:dyDescent="0.25">
      <c r="B31" s="89" t="s">
        <v>80</v>
      </c>
      <c r="C31" s="89" t="s">
        <v>81</v>
      </c>
      <c r="D31" s="89" t="s">
        <v>89</v>
      </c>
      <c r="E31" s="89" t="s">
        <v>32</v>
      </c>
      <c r="F31" s="89" t="s">
        <v>90</v>
      </c>
      <c r="G31" s="109">
        <v>2463297</v>
      </c>
      <c r="H31" s="109">
        <v>2401715</v>
      </c>
      <c r="I31" s="109">
        <v>2340132</v>
      </c>
      <c r="J31" s="90">
        <v>1.4999999999999999E-2</v>
      </c>
      <c r="K31" s="109">
        <v>0</v>
      </c>
      <c r="L31" s="94">
        <v>0</v>
      </c>
      <c r="M31" s="89" t="s">
        <v>84</v>
      </c>
      <c r="N31" s="110">
        <v>0</v>
      </c>
    </row>
    <row r="32" spans="2:14" x14ac:dyDescent="0.25">
      <c r="B32" s="89" t="s">
        <v>80</v>
      </c>
      <c r="C32" s="89" t="s">
        <v>81</v>
      </c>
      <c r="D32" s="89" t="s">
        <v>91</v>
      </c>
      <c r="E32" s="89" t="s">
        <v>32</v>
      </c>
      <c r="F32" s="89" t="s">
        <v>92</v>
      </c>
      <c r="G32" s="109">
        <v>17</v>
      </c>
      <c r="H32" s="109">
        <v>16</v>
      </c>
      <c r="I32" s="109">
        <v>15</v>
      </c>
      <c r="J32" s="90">
        <v>2.5000000000000001E-3</v>
      </c>
      <c r="K32" s="109">
        <v>0</v>
      </c>
      <c r="L32" s="94">
        <v>0</v>
      </c>
      <c r="M32" s="89" t="s">
        <v>84</v>
      </c>
      <c r="N32" s="110">
        <v>0</v>
      </c>
    </row>
    <row r="33" spans="2:14" x14ac:dyDescent="0.25">
      <c r="B33" s="89" t="s">
        <v>80</v>
      </c>
      <c r="C33" s="89" t="s">
        <v>81</v>
      </c>
      <c r="D33" s="89" t="s">
        <v>93</v>
      </c>
      <c r="E33" s="89" t="s">
        <v>32</v>
      </c>
      <c r="F33" s="89" t="s">
        <v>92</v>
      </c>
      <c r="G33" s="109">
        <v>14</v>
      </c>
      <c r="H33" s="109">
        <v>13</v>
      </c>
      <c r="I33" s="109">
        <v>12</v>
      </c>
      <c r="J33" s="90">
        <v>2.5000000000000001E-3</v>
      </c>
      <c r="K33" s="109">
        <v>0</v>
      </c>
      <c r="L33" s="94">
        <v>0</v>
      </c>
      <c r="M33" s="89" t="s">
        <v>84</v>
      </c>
      <c r="N33" s="110">
        <v>0</v>
      </c>
    </row>
  </sheetData>
  <conditionalFormatting sqref="M10:M400024">
    <cfRule type="cellIs" dxfId="4" priority="1" operator="equal">
      <formula>"Faixa Máxima"</formula>
    </cfRule>
    <cfRule type="cellIs" dxfId="3" priority="2" operator="equal">
      <formula>"Faixa Intermediária"</formula>
    </cfRule>
    <cfRule type="cellIs" dxfId="2" priority="3" operator="equal">
      <formula>"Faixa Minima"</formula>
    </cfRule>
    <cfRule type="cellIs" dxfId="1" priority="4" operator="equal">
      <formula>"Abaixo faixa mínima"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4724-881B-4F6E-BACE-96A23C8675AD}">
  <dimension ref="B4:K320"/>
  <sheetViews>
    <sheetView showGridLines="0" zoomScale="74" workbookViewId="0">
      <selection activeCell="G1" sqref="G1:G1048576"/>
    </sheetView>
  </sheetViews>
  <sheetFormatPr defaultRowHeight="15" x14ac:dyDescent="0.25"/>
  <cols>
    <col min="2" max="2" width="22.28515625" customWidth="1"/>
    <col min="3" max="3" width="20.7109375" customWidth="1"/>
    <col min="5" max="5" width="31.7109375" customWidth="1"/>
    <col min="6" max="6" width="50.7109375" customWidth="1"/>
    <col min="7" max="7" width="17.7109375" customWidth="1"/>
    <col min="8" max="8" width="20.7109375" customWidth="1"/>
    <col min="9" max="10" width="15.7109375" customWidth="1"/>
  </cols>
  <sheetData>
    <row r="4" spans="2:11" x14ac:dyDescent="0.25">
      <c r="B4" s="85" t="s">
        <v>94</v>
      </c>
      <c r="C4" s="77"/>
    </row>
    <row r="5" spans="2:11" x14ac:dyDescent="0.25">
      <c r="B5" s="81" t="str" cm="1">
        <f t="array" ref="B5">"Período: " &amp;TB_Data[Periodo] &amp;TB_Data[Periodo_Fechado_Aberto]</f>
        <v>Período: Maio/2026 - Parcial</v>
      </c>
      <c r="C5" s="77"/>
    </row>
    <row r="6" spans="2:11" x14ac:dyDescent="0.25">
      <c r="B6" s="83" t="str" cm="1">
        <f t="array" ref="B6">"Data de referência: "&amp;TB_Data[Data]</f>
        <v>Data de referência: 26/05/2026</v>
      </c>
    </row>
    <row r="7" spans="2:11" x14ac:dyDescent="0.25">
      <c r="B7" s="83"/>
    </row>
    <row r="8" spans="2:11" ht="30" customHeight="1" x14ac:dyDescent="0.25">
      <c r="B8" s="92" t="s">
        <v>95</v>
      </c>
      <c r="C8" s="92" t="s">
        <v>69</v>
      </c>
      <c r="D8" s="92" t="s">
        <v>46</v>
      </c>
      <c r="E8" s="92" t="s">
        <v>96</v>
      </c>
      <c r="F8" s="92" t="s">
        <v>97</v>
      </c>
      <c r="G8" s="92" t="s">
        <v>98</v>
      </c>
      <c r="H8" s="92" t="s">
        <v>99</v>
      </c>
      <c r="I8" s="92" t="s">
        <v>100</v>
      </c>
      <c r="J8" s="92" t="s">
        <v>101</v>
      </c>
      <c r="K8" s="92" t="s">
        <v>102</v>
      </c>
    </row>
    <row r="9" spans="2:11" x14ac:dyDescent="0.25">
      <c r="B9" s="89" t="s">
        <v>80</v>
      </c>
      <c r="C9" s="89" t="s">
        <v>81</v>
      </c>
      <c r="D9" s="89" t="s">
        <v>34</v>
      </c>
      <c r="E9" s="89" t="s">
        <v>103</v>
      </c>
      <c r="F9" s="89" t="s">
        <v>104</v>
      </c>
      <c r="G9" s="93" t="s">
        <v>105</v>
      </c>
      <c r="H9" s="93" t="s">
        <v>106</v>
      </c>
      <c r="I9" s="89"/>
      <c r="J9" s="95">
        <v>0</v>
      </c>
      <c r="K9" s="94"/>
    </row>
    <row r="10" spans="2:11" x14ac:dyDescent="0.25">
      <c r="B10" s="89" t="s">
        <v>80</v>
      </c>
      <c r="C10" s="89" t="s">
        <v>81</v>
      </c>
      <c r="D10" s="89" t="s">
        <v>34</v>
      </c>
      <c r="E10" s="89" t="s">
        <v>103</v>
      </c>
      <c r="F10" s="89" t="s">
        <v>107</v>
      </c>
      <c r="G10" s="93" t="s">
        <v>108</v>
      </c>
      <c r="H10" s="93" t="s">
        <v>106</v>
      </c>
      <c r="I10" s="89"/>
      <c r="J10" s="95">
        <v>0</v>
      </c>
      <c r="K10" s="94"/>
    </row>
    <row r="11" spans="2:11" x14ac:dyDescent="0.25">
      <c r="B11" s="89" t="s">
        <v>80</v>
      </c>
      <c r="C11" s="89" t="s">
        <v>81</v>
      </c>
      <c r="D11" s="89" t="s">
        <v>34</v>
      </c>
      <c r="E11" s="89" t="s">
        <v>103</v>
      </c>
      <c r="F11" s="89" t="s">
        <v>109</v>
      </c>
      <c r="G11" s="93" t="s">
        <v>110</v>
      </c>
      <c r="H11" s="93" t="s">
        <v>106</v>
      </c>
      <c r="I11" s="89"/>
      <c r="J11" s="95">
        <v>0</v>
      </c>
      <c r="K11" s="94"/>
    </row>
    <row r="12" spans="2:11" x14ac:dyDescent="0.25">
      <c r="B12" s="89" t="s">
        <v>80</v>
      </c>
      <c r="C12" s="89" t="s">
        <v>81</v>
      </c>
      <c r="D12" s="89" t="s">
        <v>34</v>
      </c>
      <c r="E12" s="89" t="s">
        <v>103</v>
      </c>
      <c r="F12" s="89" t="s">
        <v>111</v>
      </c>
      <c r="G12" s="93" t="s">
        <v>112</v>
      </c>
      <c r="H12" s="93" t="s">
        <v>113</v>
      </c>
      <c r="I12" s="89"/>
      <c r="J12" s="95">
        <v>0</v>
      </c>
      <c r="K12" s="94"/>
    </row>
    <row r="13" spans="2:11" x14ac:dyDescent="0.25">
      <c r="B13" s="89" t="s">
        <v>80</v>
      </c>
      <c r="C13" s="89" t="s">
        <v>81</v>
      </c>
      <c r="D13" s="89" t="s">
        <v>34</v>
      </c>
      <c r="E13" s="89" t="s">
        <v>103</v>
      </c>
      <c r="F13" s="89" t="s">
        <v>114</v>
      </c>
      <c r="G13" s="93" t="s">
        <v>115</v>
      </c>
      <c r="H13" s="93" t="s">
        <v>106</v>
      </c>
      <c r="I13" s="89"/>
      <c r="J13" s="95">
        <v>0</v>
      </c>
      <c r="K13" s="94"/>
    </row>
    <row r="14" spans="2:11" x14ac:dyDescent="0.25">
      <c r="B14" s="89" t="s">
        <v>80</v>
      </c>
      <c r="C14" s="89" t="s">
        <v>81</v>
      </c>
      <c r="D14" s="89" t="s">
        <v>34</v>
      </c>
      <c r="E14" s="89" t="s">
        <v>103</v>
      </c>
      <c r="F14" s="89" t="s">
        <v>116</v>
      </c>
      <c r="G14" s="93" t="s">
        <v>117</v>
      </c>
      <c r="H14" s="93" t="s">
        <v>106</v>
      </c>
      <c r="I14" s="89"/>
      <c r="J14" s="95">
        <v>0</v>
      </c>
      <c r="K14" s="94"/>
    </row>
    <row r="15" spans="2:11" x14ac:dyDescent="0.25">
      <c r="B15" s="89" t="s">
        <v>80</v>
      </c>
      <c r="C15" s="89" t="s">
        <v>81</v>
      </c>
      <c r="D15" s="89" t="s">
        <v>34</v>
      </c>
      <c r="E15" s="89" t="s">
        <v>103</v>
      </c>
      <c r="F15" s="89" t="s">
        <v>118</v>
      </c>
      <c r="G15" s="93" t="s">
        <v>119</v>
      </c>
      <c r="H15" s="93" t="s">
        <v>120</v>
      </c>
      <c r="I15" s="89"/>
      <c r="J15" s="95">
        <v>0</v>
      </c>
      <c r="K15" s="94"/>
    </row>
    <row r="16" spans="2:11" x14ac:dyDescent="0.25">
      <c r="B16" s="89" t="s">
        <v>80</v>
      </c>
      <c r="C16" s="89" t="s">
        <v>81</v>
      </c>
      <c r="D16" s="89" t="s">
        <v>34</v>
      </c>
      <c r="E16" s="89" t="s">
        <v>103</v>
      </c>
      <c r="F16" s="89" t="s">
        <v>121</v>
      </c>
      <c r="G16" s="93" t="s">
        <v>122</v>
      </c>
      <c r="H16" s="93" t="s">
        <v>106</v>
      </c>
      <c r="I16" s="89"/>
      <c r="J16" s="95">
        <v>0</v>
      </c>
      <c r="K16" s="94"/>
    </row>
    <row r="17" spans="2:11" x14ac:dyDescent="0.25">
      <c r="B17" s="89" t="s">
        <v>80</v>
      </c>
      <c r="C17" s="89" t="s">
        <v>81</v>
      </c>
      <c r="D17" s="89" t="s">
        <v>34</v>
      </c>
      <c r="E17" s="89" t="s">
        <v>103</v>
      </c>
      <c r="F17" s="89" t="s">
        <v>123</v>
      </c>
      <c r="G17" s="93" t="s">
        <v>124</v>
      </c>
      <c r="H17" s="93" t="s">
        <v>125</v>
      </c>
      <c r="I17" s="89"/>
      <c r="J17" s="95">
        <v>0</v>
      </c>
      <c r="K17" s="94"/>
    </row>
    <row r="18" spans="2:11" x14ac:dyDescent="0.25">
      <c r="B18" s="89" t="s">
        <v>80</v>
      </c>
      <c r="C18" s="89" t="s">
        <v>81</v>
      </c>
      <c r="D18" s="89" t="s">
        <v>34</v>
      </c>
      <c r="E18" s="89" t="s">
        <v>103</v>
      </c>
      <c r="F18" s="89" t="s">
        <v>126</v>
      </c>
      <c r="G18" s="93" t="s">
        <v>127</v>
      </c>
      <c r="H18" s="93" t="s">
        <v>106</v>
      </c>
      <c r="I18" s="89"/>
      <c r="J18" s="95">
        <v>0</v>
      </c>
      <c r="K18" s="94"/>
    </row>
    <row r="19" spans="2:11" x14ac:dyDescent="0.25">
      <c r="B19" s="89" t="s">
        <v>80</v>
      </c>
      <c r="C19" s="89" t="s">
        <v>81</v>
      </c>
      <c r="D19" s="89" t="s">
        <v>34</v>
      </c>
      <c r="E19" s="89" t="s">
        <v>103</v>
      </c>
      <c r="F19" s="89" t="s">
        <v>128</v>
      </c>
      <c r="G19" s="93" t="s">
        <v>129</v>
      </c>
      <c r="H19" s="93" t="s">
        <v>106</v>
      </c>
      <c r="I19" s="89"/>
      <c r="J19" s="95">
        <v>0</v>
      </c>
      <c r="K19" s="94"/>
    </row>
    <row r="20" spans="2:11" x14ac:dyDescent="0.25">
      <c r="B20" s="89" t="s">
        <v>80</v>
      </c>
      <c r="C20" s="89" t="s">
        <v>81</v>
      </c>
      <c r="D20" s="89" t="s">
        <v>34</v>
      </c>
      <c r="E20" s="89" t="s">
        <v>103</v>
      </c>
      <c r="F20" s="89" t="s">
        <v>130</v>
      </c>
      <c r="G20" s="93" t="s">
        <v>131</v>
      </c>
      <c r="H20" s="93" t="s">
        <v>106</v>
      </c>
      <c r="I20" s="89"/>
      <c r="J20" s="95">
        <v>0</v>
      </c>
      <c r="K20" s="94"/>
    </row>
    <row r="21" spans="2:11" x14ac:dyDescent="0.25">
      <c r="B21" s="89" t="s">
        <v>80</v>
      </c>
      <c r="C21" s="89" t="s">
        <v>81</v>
      </c>
      <c r="D21" s="89" t="s">
        <v>34</v>
      </c>
      <c r="E21" s="89" t="s">
        <v>103</v>
      </c>
      <c r="F21" s="89" t="s">
        <v>132</v>
      </c>
      <c r="G21" s="93" t="s">
        <v>133</v>
      </c>
      <c r="H21" s="93" t="s">
        <v>106</v>
      </c>
      <c r="I21" s="89"/>
      <c r="J21" s="95">
        <v>0</v>
      </c>
      <c r="K21" s="94"/>
    </row>
    <row r="22" spans="2:11" x14ac:dyDescent="0.25">
      <c r="B22" s="89" t="s">
        <v>80</v>
      </c>
      <c r="C22" s="89" t="s">
        <v>81</v>
      </c>
      <c r="D22" s="89" t="s">
        <v>34</v>
      </c>
      <c r="E22" s="89" t="s">
        <v>103</v>
      </c>
      <c r="F22" s="89" t="s">
        <v>134</v>
      </c>
      <c r="G22" s="93" t="s">
        <v>135</v>
      </c>
      <c r="H22" s="93" t="s">
        <v>106</v>
      </c>
      <c r="I22" s="89"/>
      <c r="J22" s="95">
        <v>0</v>
      </c>
      <c r="K22" s="94"/>
    </row>
    <row r="23" spans="2:11" x14ac:dyDescent="0.25">
      <c r="B23" s="89" t="s">
        <v>80</v>
      </c>
      <c r="C23" s="89" t="s">
        <v>81</v>
      </c>
      <c r="D23" s="89" t="s">
        <v>34</v>
      </c>
      <c r="E23" s="89" t="s">
        <v>103</v>
      </c>
      <c r="F23" s="89" t="s">
        <v>136</v>
      </c>
      <c r="G23" s="93" t="s">
        <v>137</v>
      </c>
      <c r="H23" s="93" t="s">
        <v>106</v>
      </c>
      <c r="I23" s="89"/>
      <c r="J23" s="95">
        <v>0</v>
      </c>
      <c r="K23" s="94"/>
    </row>
    <row r="24" spans="2:11" x14ac:dyDescent="0.25">
      <c r="B24" s="89" t="s">
        <v>80</v>
      </c>
      <c r="C24" s="89" t="s">
        <v>81</v>
      </c>
      <c r="D24" s="89" t="s">
        <v>34</v>
      </c>
      <c r="E24" s="89" t="s">
        <v>103</v>
      </c>
      <c r="F24" s="89" t="s">
        <v>138</v>
      </c>
      <c r="G24" s="93" t="s">
        <v>139</v>
      </c>
      <c r="H24" s="93" t="s">
        <v>106</v>
      </c>
      <c r="I24" s="89"/>
      <c r="J24" s="95">
        <v>0</v>
      </c>
      <c r="K24" s="94"/>
    </row>
    <row r="25" spans="2:11" x14ac:dyDescent="0.25">
      <c r="B25" s="89" t="s">
        <v>80</v>
      </c>
      <c r="C25" s="89" t="s">
        <v>81</v>
      </c>
      <c r="D25" s="89" t="s">
        <v>34</v>
      </c>
      <c r="E25" s="89" t="s">
        <v>103</v>
      </c>
      <c r="F25" s="89" t="s">
        <v>140</v>
      </c>
      <c r="G25" s="93" t="s">
        <v>141</v>
      </c>
      <c r="H25" s="93" t="s">
        <v>106</v>
      </c>
      <c r="I25" s="89"/>
      <c r="J25" s="95">
        <v>0</v>
      </c>
      <c r="K25" s="94"/>
    </row>
    <row r="26" spans="2:11" x14ac:dyDescent="0.25">
      <c r="B26" s="89" t="s">
        <v>80</v>
      </c>
      <c r="C26" s="89" t="s">
        <v>81</v>
      </c>
      <c r="D26" s="89" t="s">
        <v>34</v>
      </c>
      <c r="E26" s="89" t="s">
        <v>103</v>
      </c>
      <c r="F26" s="89" t="s">
        <v>142</v>
      </c>
      <c r="G26" s="93" t="s">
        <v>143</v>
      </c>
      <c r="H26" s="93" t="s">
        <v>106</v>
      </c>
      <c r="I26" s="89"/>
      <c r="J26" s="95">
        <v>0</v>
      </c>
      <c r="K26" s="94"/>
    </row>
    <row r="27" spans="2:11" x14ac:dyDescent="0.25">
      <c r="B27" s="89" t="s">
        <v>80</v>
      </c>
      <c r="C27" s="89" t="s">
        <v>81</v>
      </c>
      <c r="D27" s="89" t="s">
        <v>34</v>
      </c>
      <c r="E27" s="89" t="s">
        <v>103</v>
      </c>
      <c r="F27" s="89" t="s">
        <v>144</v>
      </c>
      <c r="G27" s="93" t="s">
        <v>145</v>
      </c>
      <c r="H27" s="93" t="s">
        <v>106</v>
      </c>
      <c r="I27" s="89"/>
      <c r="J27" s="95">
        <v>0</v>
      </c>
      <c r="K27" s="94"/>
    </row>
    <row r="28" spans="2:11" x14ac:dyDescent="0.25">
      <c r="B28" s="89" t="s">
        <v>80</v>
      </c>
      <c r="C28" s="89" t="s">
        <v>81</v>
      </c>
      <c r="D28" s="89" t="s">
        <v>34</v>
      </c>
      <c r="E28" s="89" t="s">
        <v>103</v>
      </c>
      <c r="F28" s="89" t="s">
        <v>146</v>
      </c>
      <c r="G28" s="93" t="s">
        <v>147</v>
      </c>
      <c r="H28" s="93" t="s">
        <v>106</v>
      </c>
      <c r="I28" s="89"/>
      <c r="J28" s="95">
        <v>0</v>
      </c>
      <c r="K28" s="94"/>
    </row>
    <row r="29" spans="2:11" x14ac:dyDescent="0.25">
      <c r="B29" s="89" t="s">
        <v>80</v>
      </c>
      <c r="C29" s="89" t="s">
        <v>81</v>
      </c>
      <c r="D29" s="89" t="s">
        <v>34</v>
      </c>
      <c r="E29" s="89" t="s">
        <v>103</v>
      </c>
      <c r="F29" s="89" t="s">
        <v>148</v>
      </c>
      <c r="G29" s="93" t="s">
        <v>149</v>
      </c>
      <c r="H29" s="93" t="s">
        <v>106</v>
      </c>
      <c r="I29" s="89"/>
      <c r="J29" s="95">
        <v>0</v>
      </c>
      <c r="K29" s="94"/>
    </row>
    <row r="30" spans="2:11" x14ac:dyDescent="0.25">
      <c r="B30" s="89" t="s">
        <v>80</v>
      </c>
      <c r="C30" s="89" t="s">
        <v>81</v>
      </c>
      <c r="D30" s="89" t="s">
        <v>34</v>
      </c>
      <c r="E30" s="89" t="s">
        <v>150</v>
      </c>
      <c r="F30" s="89" t="s">
        <v>151</v>
      </c>
      <c r="G30" s="93" t="s">
        <v>152</v>
      </c>
      <c r="H30" s="93" t="s">
        <v>106</v>
      </c>
      <c r="I30" s="89"/>
      <c r="J30" s="95">
        <v>0</v>
      </c>
      <c r="K30" s="94"/>
    </row>
    <row r="31" spans="2:11" x14ac:dyDescent="0.25">
      <c r="B31" s="89" t="s">
        <v>80</v>
      </c>
      <c r="C31" s="89" t="s">
        <v>81</v>
      </c>
      <c r="D31" s="89" t="s">
        <v>34</v>
      </c>
      <c r="E31" s="89" t="s">
        <v>150</v>
      </c>
      <c r="F31" s="89" t="s">
        <v>153</v>
      </c>
      <c r="G31" s="93" t="s">
        <v>154</v>
      </c>
      <c r="H31" s="93" t="s">
        <v>106</v>
      </c>
      <c r="I31" s="89"/>
      <c r="J31" s="95">
        <v>0</v>
      </c>
      <c r="K31" s="94"/>
    </row>
    <row r="32" spans="2:11" x14ac:dyDescent="0.25">
      <c r="B32" s="89" t="s">
        <v>80</v>
      </c>
      <c r="C32" s="89" t="s">
        <v>81</v>
      </c>
      <c r="D32" s="89" t="s">
        <v>34</v>
      </c>
      <c r="E32" s="89" t="s">
        <v>150</v>
      </c>
      <c r="F32" s="89" t="s">
        <v>155</v>
      </c>
      <c r="G32" s="93" t="s">
        <v>156</v>
      </c>
      <c r="H32" s="93" t="s">
        <v>106</v>
      </c>
      <c r="I32" s="89"/>
      <c r="J32" s="95">
        <v>0</v>
      </c>
      <c r="K32" s="94"/>
    </row>
    <row r="33" spans="2:11" x14ac:dyDescent="0.25">
      <c r="B33" s="89" t="s">
        <v>80</v>
      </c>
      <c r="C33" s="89" t="s">
        <v>81</v>
      </c>
      <c r="D33" s="89" t="s">
        <v>34</v>
      </c>
      <c r="E33" s="89" t="s">
        <v>150</v>
      </c>
      <c r="F33" s="89" t="s">
        <v>157</v>
      </c>
      <c r="G33" s="93" t="s">
        <v>158</v>
      </c>
      <c r="H33" s="93" t="s">
        <v>106</v>
      </c>
      <c r="I33" s="89"/>
      <c r="J33" s="95">
        <v>0</v>
      </c>
      <c r="K33" s="94"/>
    </row>
    <row r="34" spans="2:11" x14ac:dyDescent="0.25">
      <c r="B34" s="89" t="s">
        <v>80</v>
      </c>
      <c r="C34" s="89" t="s">
        <v>81</v>
      </c>
      <c r="D34" s="89" t="s">
        <v>34</v>
      </c>
      <c r="E34" s="89" t="s">
        <v>150</v>
      </c>
      <c r="F34" s="89" t="s">
        <v>159</v>
      </c>
      <c r="G34" s="93" t="s">
        <v>160</v>
      </c>
      <c r="H34" s="93" t="s">
        <v>106</v>
      </c>
      <c r="I34" s="89"/>
      <c r="J34" s="95">
        <v>0</v>
      </c>
      <c r="K34" s="94"/>
    </row>
    <row r="35" spans="2:11" x14ac:dyDescent="0.25">
      <c r="B35" s="89" t="s">
        <v>80</v>
      </c>
      <c r="C35" s="89" t="s">
        <v>81</v>
      </c>
      <c r="D35" s="89" t="s">
        <v>34</v>
      </c>
      <c r="E35" s="89" t="s">
        <v>150</v>
      </c>
      <c r="F35" s="89" t="s">
        <v>161</v>
      </c>
      <c r="G35" s="93" t="s">
        <v>162</v>
      </c>
      <c r="H35" s="93" t="s">
        <v>106</v>
      </c>
      <c r="I35" s="89"/>
      <c r="J35" s="95">
        <v>0</v>
      </c>
      <c r="K35" s="94"/>
    </row>
    <row r="36" spans="2:11" x14ac:dyDescent="0.25">
      <c r="B36" s="89" t="s">
        <v>80</v>
      </c>
      <c r="C36" s="89" t="s">
        <v>81</v>
      </c>
      <c r="D36" s="89" t="s">
        <v>34</v>
      </c>
      <c r="E36" s="89" t="s">
        <v>150</v>
      </c>
      <c r="F36" s="89" t="s">
        <v>163</v>
      </c>
      <c r="G36" s="93" t="s">
        <v>164</v>
      </c>
      <c r="H36" s="93" t="s">
        <v>106</v>
      </c>
      <c r="I36" s="89"/>
      <c r="J36" s="95">
        <v>0</v>
      </c>
      <c r="K36" s="94"/>
    </row>
    <row r="37" spans="2:11" x14ac:dyDescent="0.25">
      <c r="B37" s="89" t="s">
        <v>80</v>
      </c>
      <c r="C37" s="89" t="s">
        <v>81</v>
      </c>
      <c r="D37" s="89" t="s">
        <v>34</v>
      </c>
      <c r="E37" s="89" t="s">
        <v>150</v>
      </c>
      <c r="F37" s="89" t="s">
        <v>165</v>
      </c>
      <c r="G37" s="93" t="s">
        <v>166</v>
      </c>
      <c r="H37" s="93" t="s">
        <v>106</v>
      </c>
      <c r="I37" s="89"/>
      <c r="J37" s="95">
        <v>0</v>
      </c>
      <c r="K37" s="94"/>
    </row>
    <row r="38" spans="2:11" x14ac:dyDescent="0.25">
      <c r="B38" s="89" t="s">
        <v>80</v>
      </c>
      <c r="C38" s="89" t="s">
        <v>81</v>
      </c>
      <c r="D38" s="89" t="s">
        <v>34</v>
      </c>
      <c r="E38" s="89" t="s">
        <v>150</v>
      </c>
      <c r="F38" s="89" t="s">
        <v>167</v>
      </c>
      <c r="G38" s="93" t="s">
        <v>168</v>
      </c>
      <c r="H38" s="93" t="s">
        <v>106</v>
      </c>
      <c r="I38" s="89"/>
      <c r="J38" s="95">
        <v>0</v>
      </c>
      <c r="K38" s="94"/>
    </row>
    <row r="39" spans="2:11" x14ac:dyDescent="0.25">
      <c r="B39" s="89" t="s">
        <v>80</v>
      </c>
      <c r="C39" s="89" t="s">
        <v>81</v>
      </c>
      <c r="D39" s="89" t="s">
        <v>34</v>
      </c>
      <c r="E39" s="89" t="s">
        <v>150</v>
      </c>
      <c r="F39" s="89" t="s">
        <v>169</v>
      </c>
      <c r="G39" s="93" t="s">
        <v>170</v>
      </c>
      <c r="H39" s="93" t="s">
        <v>106</v>
      </c>
      <c r="I39" s="89"/>
      <c r="J39" s="95">
        <v>0</v>
      </c>
      <c r="K39" s="94"/>
    </row>
    <row r="40" spans="2:11" x14ac:dyDescent="0.25">
      <c r="B40" s="89" t="s">
        <v>80</v>
      </c>
      <c r="C40" s="89" t="s">
        <v>81</v>
      </c>
      <c r="D40" s="89" t="s">
        <v>34</v>
      </c>
      <c r="E40" s="89" t="s">
        <v>150</v>
      </c>
      <c r="F40" s="89" t="s">
        <v>171</v>
      </c>
      <c r="G40" s="93" t="s">
        <v>172</v>
      </c>
      <c r="H40" s="93" t="s">
        <v>106</v>
      </c>
      <c r="I40" s="89"/>
      <c r="J40" s="95">
        <v>0</v>
      </c>
      <c r="K40" s="94"/>
    </row>
    <row r="41" spans="2:11" x14ac:dyDescent="0.25">
      <c r="B41" s="89" t="s">
        <v>80</v>
      </c>
      <c r="C41" s="89" t="s">
        <v>81</v>
      </c>
      <c r="D41" s="89" t="s">
        <v>34</v>
      </c>
      <c r="E41" s="89" t="s">
        <v>150</v>
      </c>
      <c r="F41" s="89" t="s">
        <v>173</v>
      </c>
      <c r="G41" s="93" t="s">
        <v>174</v>
      </c>
      <c r="H41" s="93" t="s">
        <v>106</v>
      </c>
      <c r="I41" s="89"/>
      <c r="J41" s="95">
        <v>0</v>
      </c>
      <c r="K41" s="94"/>
    </row>
    <row r="42" spans="2:11" x14ac:dyDescent="0.25">
      <c r="B42" s="89" t="s">
        <v>80</v>
      </c>
      <c r="C42" s="89" t="s">
        <v>81</v>
      </c>
      <c r="D42" s="89" t="s">
        <v>34</v>
      </c>
      <c r="E42" s="89" t="s">
        <v>150</v>
      </c>
      <c r="F42" s="89" t="s">
        <v>175</v>
      </c>
      <c r="G42" s="93" t="s">
        <v>176</v>
      </c>
      <c r="H42" s="93" t="s">
        <v>106</v>
      </c>
      <c r="I42" s="89"/>
      <c r="J42" s="95">
        <v>0</v>
      </c>
      <c r="K42" s="94"/>
    </row>
    <row r="43" spans="2:11" x14ac:dyDescent="0.25">
      <c r="B43" s="89" t="s">
        <v>80</v>
      </c>
      <c r="C43" s="89" t="s">
        <v>81</v>
      </c>
      <c r="D43" s="89" t="s">
        <v>34</v>
      </c>
      <c r="E43" s="89" t="s">
        <v>150</v>
      </c>
      <c r="F43" s="89" t="s">
        <v>177</v>
      </c>
      <c r="G43" s="93" t="s">
        <v>178</v>
      </c>
      <c r="H43" s="93" t="s">
        <v>106</v>
      </c>
      <c r="I43" s="89"/>
      <c r="J43" s="95">
        <v>0</v>
      </c>
      <c r="K43" s="94"/>
    </row>
    <row r="44" spans="2:11" x14ac:dyDescent="0.25">
      <c r="B44" s="89" t="s">
        <v>80</v>
      </c>
      <c r="C44" s="89" t="s">
        <v>81</v>
      </c>
      <c r="D44" s="89" t="s">
        <v>34</v>
      </c>
      <c r="E44" s="89" t="s">
        <v>150</v>
      </c>
      <c r="F44" s="89" t="s">
        <v>179</v>
      </c>
      <c r="G44" s="93" t="s">
        <v>180</v>
      </c>
      <c r="H44" s="93" t="s">
        <v>106</v>
      </c>
      <c r="I44" s="89"/>
      <c r="J44" s="95">
        <v>0</v>
      </c>
      <c r="K44" s="94"/>
    </row>
    <row r="45" spans="2:11" x14ac:dyDescent="0.25">
      <c r="B45" s="89" t="s">
        <v>80</v>
      </c>
      <c r="C45" s="89" t="s">
        <v>81</v>
      </c>
      <c r="D45" s="89" t="s">
        <v>34</v>
      </c>
      <c r="E45" s="89" t="s">
        <v>150</v>
      </c>
      <c r="F45" s="89" t="s">
        <v>181</v>
      </c>
      <c r="G45" s="93" t="s">
        <v>182</v>
      </c>
      <c r="H45" s="93" t="s">
        <v>106</v>
      </c>
      <c r="I45" s="89"/>
      <c r="J45" s="95">
        <v>0</v>
      </c>
      <c r="K45" s="94"/>
    </row>
    <row r="46" spans="2:11" x14ac:dyDescent="0.25">
      <c r="B46" s="89" t="s">
        <v>80</v>
      </c>
      <c r="C46" s="89" t="s">
        <v>81</v>
      </c>
      <c r="D46" s="89" t="s">
        <v>34</v>
      </c>
      <c r="E46" s="89" t="s">
        <v>150</v>
      </c>
      <c r="F46" s="89" t="s">
        <v>183</v>
      </c>
      <c r="G46" s="93" t="s">
        <v>184</v>
      </c>
      <c r="H46" s="93" t="s">
        <v>106</v>
      </c>
      <c r="I46" s="89"/>
      <c r="J46" s="95">
        <v>0</v>
      </c>
      <c r="K46" s="94"/>
    </row>
    <row r="47" spans="2:11" x14ac:dyDescent="0.25">
      <c r="B47" s="89" t="s">
        <v>80</v>
      </c>
      <c r="C47" s="89" t="s">
        <v>81</v>
      </c>
      <c r="D47" s="89" t="s">
        <v>34</v>
      </c>
      <c r="E47" s="89" t="s">
        <v>150</v>
      </c>
      <c r="F47" s="89" t="s">
        <v>185</v>
      </c>
      <c r="G47" s="93" t="s">
        <v>186</v>
      </c>
      <c r="H47" s="93" t="s">
        <v>106</v>
      </c>
      <c r="I47" s="89"/>
      <c r="J47" s="95">
        <v>0</v>
      </c>
      <c r="K47" s="94"/>
    </row>
    <row r="48" spans="2:11" x14ac:dyDescent="0.25">
      <c r="B48" s="89" t="s">
        <v>80</v>
      </c>
      <c r="C48" s="89" t="s">
        <v>81</v>
      </c>
      <c r="D48" s="89" t="s">
        <v>34</v>
      </c>
      <c r="E48" s="89" t="s">
        <v>150</v>
      </c>
      <c r="F48" s="89" t="s">
        <v>187</v>
      </c>
      <c r="G48" s="93" t="s">
        <v>188</v>
      </c>
      <c r="H48" s="93" t="s">
        <v>106</v>
      </c>
      <c r="I48" s="89"/>
      <c r="J48" s="95">
        <v>0</v>
      </c>
      <c r="K48" s="94"/>
    </row>
    <row r="49" spans="2:11" x14ac:dyDescent="0.25">
      <c r="B49" s="89" t="s">
        <v>80</v>
      </c>
      <c r="C49" s="89" t="s">
        <v>81</v>
      </c>
      <c r="D49" s="89" t="s">
        <v>34</v>
      </c>
      <c r="E49" s="89" t="s">
        <v>150</v>
      </c>
      <c r="F49" s="89" t="s">
        <v>189</v>
      </c>
      <c r="G49" s="93" t="s">
        <v>190</v>
      </c>
      <c r="H49" s="93" t="s">
        <v>106</v>
      </c>
      <c r="I49" s="89"/>
      <c r="J49" s="95">
        <v>0</v>
      </c>
      <c r="K49" s="94"/>
    </row>
    <row r="50" spans="2:11" x14ac:dyDescent="0.25">
      <c r="B50" s="89" t="s">
        <v>80</v>
      </c>
      <c r="C50" s="89" t="s">
        <v>81</v>
      </c>
      <c r="D50" s="89" t="s">
        <v>34</v>
      </c>
      <c r="E50" s="89" t="s">
        <v>150</v>
      </c>
      <c r="F50" s="89" t="s">
        <v>191</v>
      </c>
      <c r="G50" s="93" t="s">
        <v>192</v>
      </c>
      <c r="H50" s="93" t="s">
        <v>106</v>
      </c>
      <c r="I50" s="89"/>
      <c r="J50" s="95">
        <v>0</v>
      </c>
      <c r="K50" s="94"/>
    </row>
    <row r="51" spans="2:11" x14ac:dyDescent="0.25">
      <c r="B51" s="89" t="s">
        <v>80</v>
      </c>
      <c r="C51" s="89" t="s">
        <v>81</v>
      </c>
      <c r="D51" s="89" t="s">
        <v>34</v>
      </c>
      <c r="E51" s="89" t="s">
        <v>150</v>
      </c>
      <c r="F51" s="89" t="s">
        <v>193</v>
      </c>
      <c r="G51" s="93" t="s">
        <v>194</v>
      </c>
      <c r="H51" s="93" t="s">
        <v>106</v>
      </c>
      <c r="I51" s="89"/>
      <c r="J51" s="95">
        <v>0</v>
      </c>
      <c r="K51" s="94"/>
    </row>
    <row r="52" spans="2:11" x14ac:dyDescent="0.25">
      <c r="B52" s="89" t="s">
        <v>80</v>
      </c>
      <c r="C52" s="89" t="s">
        <v>81</v>
      </c>
      <c r="D52" s="89" t="s">
        <v>34</v>
      </c>
      <c r="E52" s="89" t="s">
        <v>150</v>
      </c>
      <c r="F52" s="89" t="s">
        <v>195</v>
      </c>
      <c r="G52" s="93" t="s">
        <v>196</v>
      </c>
      <c r="H52" s="93" t="s">
        <v>106</v>
      </c>
      <c r="I52" s="89"/>
      <c r="J52" s="95">
        <v>0</v>
      </c>
      <c r="K52" s="94"/>
    </row>
    <row r="53" spans="2:11" x14ac:dyDescent="0.25">
      <c r="B53" s="89" t="s">
        <v>80</v>
      </c>
      <c r="C53" s="89" t="s">
        <v>81</v>
      </c>
      <c r="D53" s="89" t="s">
        <v>34</v>
      </c>
      <c r="E53" s="89" t="s">
        <v>197</v>
      </c>
      <c r="F53" s="89" t="s">
        <v>198</v>
      </c>
      <c r="G53" s="93" t="s">
        <v>199</v>
      </c>
      <c r="H53" s="93" t="s">
        <v>200</v>
      </c>
      <c r="I53" s="89"/>
      <c r="J53" s="95">
        <v>0</v>
      </c>
      <c r="K53" s="94"/>
    </row>
    <row r="54" spans="2:11" x14ac:dyDescent="0.25">
      <c r="B54" s="89" t="s">
        <v>80</v>
      </c>
      <c r="C54" s="89" t="s">
        <v>81</v>
      </c>
      <c r="D54" s="89" t="s">
        <v>34</v>
      </c>
      <c r="E54" s="89" t="s">
        <v>197</v>
      </c>
      <c r="F54" s="89" t="s">
        <v>201</v>
      </c>
      <c r="G54" s="93" t="s">
        <v>202</v>
      </c>
      <c r="H54" s="93" t="s">
        <v>203</v>
      </c>
      <c r="I54" s="89"/>
      <c r="J54" s="95">
        <v>0</v>
      </c>
      <c r="K54" s="94"/>
    </row>
    <row r="55" spans="2:11" x14ac:dyDescent="0.25">
      <c r="B55" s="89" t="s">
        <v>80</v>
      </c>
      <c r="C55" s="89" t="s">
        <v>81</v>
      </c>
      <c r="D55" s="89" t="s">
        <v>34</v>
      </c>
      <c r="E55" s="89" t="s">
        <v>197</v>
      </c>
      <c r="F55" s="89" t="s">
        <v>204</v>
      </c>
      <c r="G55" s="93" t="s">
        <v>205</v>
      </c>
      <c r="H55" s="93" t="s">
        <v>106</v>
      </c>
      <c r="I55" s="89"/>
      <c r="J55" s="95">
        <v>0</v>
      </c>
      <c r="K55" s="94"/>
    </row>
    <row r="56" spans="2:11" x14ac:dyDescent="0.25">
      <c r="B56" s="89" t="s">
        <v>80</v>
      </c>
      <c r="C56" s="89" t="s">
        <v>81</v>
      </c>
      <c r="D56" s="89" t="s">
        <v>34</v>
      </c>
      <c r="E56" s="89" t="s">
        <v>197</v>
      </c>
      <c r="F56" s="89" t="s">
        <v>206</v>
      </c>
      <c r="G56" s="93" t="s">
        <v>207</v>
      </c>
      <c r="H56" s="93" t="s">
        <v>106</v>
      </c>
      <c r="I56" s="89"/>
      <c r="J56" s="95">
        <v>0</v>
      </c>
      <c r="K56" s="94"/>
    </row>
    <row r="57" spans="2:11" x14ac:dyDescent="0.25">
      <c r="B57" s="89" t="s">
        <v>80</v>
      </c>
      <c r="C57" s="89" t="s">
        <v>81</v>
      </c>
      <c r="D57" s="89" t="s">
        <v>34</v>
      </c>
      <c r="E57" s="89" t="s">
        <v>197</v>
      </c>
      <c r="F57" s="89" t="s">
        <v>208</v>
      </c>
      <c r="G57" s="93" t="s">
        <v>209</v>
      </c>
      <c r="H57" s="93" t="s">
        <v>106</v>
      </c>
      <c r="I57" s="89"/>
      <c r="J57" s="95">
        <v>0</v>
      </c>
      <c r="K57" s="94"/>
    </row>
    <row r="58" spans="2:11" x14ac:dyDescent="0.25">
      <c r="B58" s="89" t="s">
        <v>80</v>
      </c>
      <c r="C58" s="89" t="s">
        <v>81</v>
      </c>
      <c r="D58" s="89" t="s">
        <v>34</v>
      </c>
      <c r="E58" s="89" t="s">
        <v>197</v>
      </c>
      <c r="F58" s="89" t="s">
        <v>210</v>
      </c>
      <c r="G58" s="93" t="s">
        <v>211</v>
      </c>
      <c r="H58" s="93" t="s">
        <v>106</v>
      </c>
      <c r="I58" s="89"/>
      <c r="J58" s="95">
        <v>0</v>
      </c>
      <c r="K58" s="94"/>
    </row>
    <row r="59" spans="2:11" x14ac:dyDescent="0.25">
      <c r="B59" s="89" t="s">
        <v>80</v>
      </c>
      <c r="C59" s="89" t="s">
        <v>81</v>
      </c>
      <c r="D59" s="89" t="s">
        <v>34</v>
      </c>
      <c r="E59" s="89" t="s">
        <v>197</v>
      </c>
      <c r="F59" s="89" t="s">
        <v>212</v>
      </c>
      <c r="G59" s="93" t="s">
        <v>213</v>
      </c>
      <c r="H59" s="93" t="s">
        <v>214</v>
      </c>
      <c r="I59" s="89"/>
      <c r="J59" s="95">
        <v>0</v>
      </c>
      <c r="K59" s="94"/>
    </row>
    <row r="60" spans="2:11" x14ac:dyDescent="0.25">
      <c r="B60" s="89" t="s">
        <v>80</v>
      </c>
      <c r="C60" s="89" t="s">
        <v>81</v>
      </c>
      <c r="D60" s="89" t="s">
        <v>34</v>
      </c>
      <c r="E60" s="89" t="s">
        <v>197</v>
      </c>
      <c r="F60" s="89" t="s">
        <v>215</v>
      </c>
      <c r="G60" s="93" t="s">
        <v>216</v>
      </c>
      <c r="H60" s="93" t="s">
        <v>217</v>
      </c>
      <c r="I60" s="89"/>
      <c r="J60" s="95">
        <v>0</v>
      </c>
      <c r="K60" s="94"/>
    </row>
    <row r="61" spans="2:11" x14ac:dyDescent="0.25">
      <c r="B61" s="89" t="s">
        <v>80</v>
      </c>
      <c r="C61" s="89" t="s">
        <v>81</v>
      </c>
      <c r="D61" s="89" t="s">
        <v>34</v>
      </c>
      <c r="E61" s="89" t="s">
        <v>197</v>
      </c>
      <c r="F61" s="89" t="s">
        <v>218</v>
      </c>
      <c r="G61" s="93" t="s">
        <v>219</v>
      </c>
      <c r="H61" s="93" t="s">
        <v>106</v>
      </c>
      <c r="I61" s="89"/>
      <c r="J61" s="95">
        <v>0</v>
      </c>
      <c r="K61" s="94"/>
    </row>
    <row r="62" spans="2:11" x14ac:dyDescent="0.25">
      <c r="B62" s="89" t="s">
        <v>80</v>
      </c>
      <c r="C62" s="89" t="s">
        <v>81</v>
      </c>
      <c r="D62" s="89" t="s">
        <v>34</v>
      </c>
      <c r="E62" s="89" t="s">
        <v>197</v>
      </c>
      <c r="F62" s="89" t="s">
        <v>220</v>
      </c>
      <c r="G62" s="93" t="s">
        <v>221</v>
      </c>
      <c r="H62" s="93" t="s">
        <v>106</v>
      </c>
      <c r="I62" s="89"/>
      <c r="J62" s="95">
        <v>0</v>
      </c>
      <c r="K62" s="94"/>
    </row>
    <row r="63" spans="2:11" x14ac:dyDescent="0.25">
      <c r="B63" s="89" t="s">
        <v>80</v>
      </c>
      <c r="C63" s="89" t="s">
        <v>81</v>
      </c>
      <c r="D63" s="89" t="s">
        <v>34</v>
      </c>
      <c r="E63" s="89" t="s">
        <v>197</v>
      </c>
      <c r="F63" s="89" t="s">
        <v>222</v>
      </c>
      <c r="G63" s="93" t="s">
        <v>223</v>
      </c>
      <c r="H63" s="93" t="s">
        <v>106</v>
      </c>
      <c r="I63" s="89"/>
      <c r="J63" s="95">
        <v>0</v>
      </c>
      <c r="K63" s="94"/>
    </row>
    <row r="64" spans="2:11" x14ac:dyDescent="0.25">
      <c r="B64" s="89" t="s">
        <v>80</v>
      </c>
      <c r="C64" s="89" t="s">
        <v>81</v>
      </c>
      <c r="D64" s="89" t="s">
        <v>34</v>
      </c>
      <c r="E64" s="89" t="s">
        <v>197</v>
      </c>
      <c r="F64" s="89" t="s">
        <v>224</v>
      </c>
      <c r="G64" s="93" t="s">
        <v>225</v>
      </c>
      <c r="H64" s="93" t="s">
        <v>106</v>
      </c>
      <c r="I64" s="89"/>
      <c r="J64" s="95">
        <v>0</v>
      </c>
      <c r="K64" s="94"/>
    </row>
    <row r="65" spans="2:11" x14ac:dyDescent="0.25">
      <c r="B65" s="89" t="s">
        <v>80</v>
      </c>
      <c r="C65" s="89" t="s">
        <v>81</v>
      </c>
      <c r="D65" s="89" t="s">
        <v>34</v>
      </c>
      <c r="E65" s="89" t="s">
        <v>226</v>
      </c>
      <c r="F65" s="89" t="s">
        <v>227</v>
      </c>
      <c r="G65" s="93" t="s">
        <v>228</v>
      </c>
      <c r="H65" s="93" t="s">
        <v>106</v>
      </c>
      <c r="I65" s="89"/>
      <c r="J65" s="95">
        <v>0</v>
      </c>
      <c r="K65" s="94"/>
    </row>
    <row r="66" spans="2:11" x14ac:dyDescent="0.25">
      <c r="B66" s="89" t="s">
        <v>80</v>
      </c>
      <c r="C66" s="89" t="s">
        <v>81</v>
      </c>
      <c r="D66" s="89" t="s">
        <v>34</v>
      </c>
      <c r="E66" s="89" t="s">
        <v>226</v>
      </c>
      <c r="F66" s="89" t="s">
        <v>229</v>
      </c>
      <c r="G66" s="93" t="s">
        <v>230</v>
      </c>
      <c r="H66" s="93" t="s">
        <v>106</v>
      </c>
      <c r="I66" s="89"/>
      <c r="J66" s="95">
        <v>0</v>
      </c>
      <c r="K66" s="94"/>
    </row>
    <row r="67" spans="2:11" x14ac:dyDescent="0.25">
      <c r="B67" s="89" t="s">
        <v>80</v>
      </c>
      <c r="C67" s="89" t="s">
        <v>81</v>
      </c>
      <c r="D67" s="89" t="s">
        <v>34</v>
      </c>
      <c r="E67" s="89" t="s">
        <v>226</v>
      </c>
      <c r="F67" s="89" t="s">
        <v>231</v>
      </c>
      <c r="G67" s="93" t="s">
        <v>232</v>
      </c>
      <c r="H67" s="93" t="s">
        <v>233</v>
      </c>
      <c r="I67" s="89"/>
      <c r="J67" s="95">
        <v>0</v>
      </c>
      <c r="K67" s="94"/>
    </row>
    <row r="68" spans="2:11" x14ac:dyDescent="0.25">
      <c r="B68" s="89" t="s">
        <v>80</v>
      </c>
      <c r="C68" s="89" t="s">
        <v>81</v>
      </c>
      <c r="D68" s="89" t="s">
        <v>34</v>
      </c>
      <c r="E68" s="89" t="s">
        <v>226</v>
      </c>
      <c r="F68" s="89" t="s">
        <v>234</v>
      </c>
      <c r="G68" s="93" t="s">
        <v>235</v>
      </c>
      <c r="H68" s="93" t="s">
        <v>106</v>
      </c>
      <c r="I68" s="89"/>
      <c r="J68" s="95">
        <v>0</v>
      </c>
      <c r="K68" s="94"/>
    </row>
    <row r="69" spans="2:11" x14ac:dyDescent="0.25">
      <c r="B69" s="89" t="s">
        <v>80</v>
      </c>
      <c r="C69" s="89" t="s">
        <v>81</v>
      </c>
      <c r="D69" s="89" t="s">
        <v>34</v>
      </c>
      <c r="E69" s="89" t="s">
        <v>226</v>
      </c>
      <c r="F69" s="89" t="s">
        <v>236</v>
      </c>
      <c r="G69" s="93" t="s">
        <v>237</v>
      </c>
      <c r="H69" s="93" t="s">
        <v>106</v>
      </c>
      <c r="I69" s="89"/>
      <c r="J69" s="95">
        <v>0</v>
      </c>
      <c r="K69" s="94"/>
    </row>
    <row r="70" spans="2:11" x14ac:dyDescent="0.25">
      <c r="B70" s="89" t="s">
        <v>80</v>
      </c>
      <c r="C70" s="89" t="s">
        <v>81</v>
      </c>
      <c r="D70" s="89" t="s">
        <v>34</v>
      </c>
      <c r="E70" s="89" t="s">
        <v>226</v>
      </c>
      <c r="F70" s="89" t="s">
        <v>238</v>
      </c>
      <c r="G70" s="93" t="s">
        <v>239</v>
      </c>
      <c r="H70" s="93" t="s">
        <v>106</v>
      </c>
      <c r="I70" s="89"/>
      <c r="J70" s="95">
        <v>0</v>
      </c>
      <c r="K70" s="94"/>
    </row>
    <row r="71" spans="2:11" x14ac:dyDescent="0.25">
      <c r="B71" s="89" t="s">
        <v>80</v>
      </c>
      <c r="C71" s="89" t="s">
        <v>81</v>
      </c>
      <c r="D71" s="89" t="s">
        <v>34</v>
      </c>
      <c r="E71" s="89" t="s">
        <v>226</v>
      </c>
      <c r="F71" s="89" t="s">
        <v>240</v>
      </c>
      <c r="G71" s="93" t="s">
        <v>241</v>
      </c>
      <c r="H71" s="93" t="s">
        <v>106</v>
      </c>
      <c r="I71" s="89"/>
      <c r="J71" s="95">
        <v>0</v>
      </c>
      <c r="K71" s="94"/>
    </row>
    <row r="72" spans="2:11" x14ac:dyDescent="0.25">
      <c r="B72" s="89" t="s">
        <v>80</v>
      </c>
      <c r="C72" s="89" t="s">
        <v>81</v>
      </c>
      <c r="D72" s="89" t="s">
        <v>34</v>
      </c>
      <c r="E72" s="89" t="s">
        <v>226</v>
      </c>
      <c r="F72" s="89" t="s">
        <v>242</v>
      </c>
      <c r="G72" s="93" t="s">
        <v>243</v>
      </c>
      <c r="H72" s="93" t="s">
        <v>244</v>
      </c>
      <c r="I72" s="89"/>
      <c r="J72" s="95">
        <v>0</v>
      </c>
      <c r="K72" s="94"/>
    </row>
    <row r="73" spans="2:11" x14ac:dyDescent="0.25">
      <c r="B73" s="89" t="s">
        <v>80</v>
      </c>
      <c r="C73" s="89" t="s">
        <v>81</v>
      </c>
      <c r="D73" s="89" t="s">
        <v>34</v>
      </c>
      <c r="E73" s="89" t="s">
        <v>245</v>
      </c>
      <c r="F73" s="89" t="s">
        <v>246</v>
      </c>
      <c r="G73" s="93" t="s">
        <v>247</v>
      </c>
      <c r="H73" s="93" t="s">
        <v>106</v>
      </c>
      <c r="I73" s="89"/>
      <c r="J73" s="95">
        <v>0</v>
      </c>
      <c r="K73" s="94"/>
    </row>
    <row r="74" spans="2:11" x14ac:dyDescent="0.25">
      <c r="B74" s="89" t="s">
        <v>80</v>
      </c>
      <c r="C74" s="89" t="s">
        <v>81</v>
      </c>
      <c r="D74" s="89" t="s">
        <v>34</v>
      </c>
      <c r="E74" s="89" t="s">
        <v>245</v>
      </c>
      <c r="F74" s="89" t="s">
        <v>248</v>
      </c>
      <c r="G74" s="93" t="s">
        <v>249</v>
      </c>
      <c r="H74" s="93" t="s">
        <v>106</v>
      </c>
      <c r="I74" s="89"/>
      <c r="J74" s="95">
        <v>0</v>
      </c>
      <c r="K74" s="94"/>
    </row>
    <row r="75" spans="2:11" x14ac:dyDescent="0.25">
      <c r="B75" s="89" t="s">
        <v>80</v>
      </c>
      <c r="C75" s="89" t="s">
        <v>81</v>
      </c>
      <c r="D75" s="89" t="s">
        <v>34</v>
      </c>
      <c r="E75" s="89" t="s">
        <v>245</v>
      </c>
      <c r="F75" s="89" t="s">
        <v>250</v>
      </c>
      <c r="G75" s="93" t="s">
        <v>251</v>
      </c>
      <c r="H75" s="93" t="s">
        <v>252</v>
      </c>
      <c r="I75" s="89"/>
      <c r="J75" s="95">
        <v>0</v>
      </c>
      <c r="K75" s="94"/>
    </row>
    <row r="76" spans="2:11" x14ac:dyDescent="0.25">
      <c r="B76" s="89" t="s">
        <v>80</v>
      </c>
      <c r="C76" s="89" t="s">
        <v>81</v>
      </c>
      <c r="D76" s="89" t="s">
        <v>34</v>
      </c>
      <c r="E76" s="89" t="s">
        <v>245</v>
      </c>
      <c r="F76" s="89" t="s">
        <v>253</v>
      </c>
      <c r="G76" s="93" t="s">
        <v>254</v>
      </c>
      <c r="H76" s="93" t="s">
        <v>106</v>
      </c>
      <c r="I76" s="89"/>
      <c r="J76" s="95">
        <v>0</v>
      </c>
      <c r="K76" s="94"/>
    </row>
    <row r="77" spans="2:11" x14ac:dyDescent="0.25">
      <c r="B77" s="89" t="s">
        <v>80</v>
      </c>
      <c r="C77" s="89" t="s">
        <v>81</v>
      </c>
      <c r="D77" s="89" t="s">
        <v>34</v>
      </c>
      <c r="E77" s="89" t="s">
        <v>245</v>
      </c>
      <c r="F77" s="89" t="s">
        <v>255</v>
      </c>
      <c r="G77" s="93" t="s">
        <v>256</v>
      </c>
      <c r="H77" s="93" t="s">
        <v>106</v>
      </c>
      <c r="I77" s="89"/>
      <c r="J77" s="95">
        <v>0</v>
      </c>
      <c r="K77" s="94"/>
    </row>
    <row r="78" spans="2:11" x14ac:dyDescent="0.25">
      <c r="B78" s="89" t="s">
        <v>80</v>
      </c>
      <c r="C78" s="89" t="s">
        <v>81</v>
      </c>
      <c r="D78" s="89" t="s">
        <v>34</v>
      </c>
      <c r="E78" s="89" t="s">
        <v>245</v>
      </c>
      <c r="F78" s="89" t="s">
        <v>257</v>
      </c>
      <c r="G78" s="93" t="s">
        <v>258</v>
      </c>
      <c r="H78" s="93" t="s">
        <v>106</v>
      </c>
      <c r="I78" s="89"/>
      <c r="J78" s="95">
        <v>0</v>
      </c>
      <c r="K78" s="94"/>
    </row>
    <row r="79" spans="2:11" x14ac:dyDescent="0.25">
      <c r="B79" s="89" t="s">
        <v>80</v>
      </c>
      <c r="C79" s="89" t="s">
        <v>81</v>
      </c>
      <c r="D79" s="89" t="s">
        <v>34</v>
      </c>
      <c r="E79" s="89" t="s">
        <v>245</v>
      </c>
      <c r="F79" s="89" t="s">
        <v>259</v>
      </c>
      <c r="G79" s="93" t="s">
        <v>260</v>
      </c>
      <c r="H79" s="93" t="s">
        <v>106</v>
      </c>
      <c r="I79" s="89"/>
      <c r="J79" s="95">
        <v>0</v>
      </c>
      <c r="K79" s="94"/>
    </row>
    <row r="80" spans="2:11" x14ac:dyDescent="0.25">
      <c r="B80" s="89" t="s">
        <v>80</v>
      </c>
      <c r="C80" s="89" t="s">
        <v>81</v>
      </c>
      <c r="D80" s="89" t="s">
        <v>34</v>
      </c>
      <c r="E80" s="89" t="s">
        <v>245</v>
      </c>
      <c r="F80" s="89" t="s">
        <v>261</v>
      </c>
      <c r="G80" s="93" t="s">
        <v>262</v>
      </c>
      <c r="H80" s="93" t="s">
        <v>263</v>
      </c>
      <c r="I80" s="89"/>
      <c r="J80" s="95">
        <v>0</v>
      </c>
      <c r="K80" s="94"/>
    </row>
    <row r="81" spans="2:11" x14ac:dyDescent="0.25">
      <c r="B81" s="89" t="s">
        <v>80</v>
      </c>
      <c r="C81" s="89" t="s">
        <v>81</v>
      </c>
      <c r="D81" s="89" t="s">
        <v>34</v>
      </c>
      <c r="E81" s="89" t="s">
        <v>245</v>
      </c>
      <c r="F81" s="89" t="s">
        <v>264</v>
      </c>
      <c r="G81" s="93" t="s">
        <v>265</v>
      </c>
      <c r="H81" s="93" t="s">
        <v>106</v>
      </c>
      <c r="I81" s="89"/>
      <c r="J81" s="95">
        <v>0</v>
      </c>
      <c r="K81" s="94"/>
    </row>
    <row r="82" spans="2:11" x14ac:dyDescent="0.25">
      <c r="B82" s="89" t="s">
        <v>80</v>
      </c>
      <c r="C82" s="89" t="s">
        <v>81</v>
      </c>
      <c r="D82" s="89" t="s">
        <v>34</v>
      </c>
      <c r="E82" s="89" t="s">
        <v>245</v>
      </c>
      <c r="F82" s="89" t="s">
        <v>266</v>
      </c>
      <c r="G82" s="93" t="s">
        <v>267</v>
      </c>
      <c r="H82" s="93" t="s">
        <v>106</v>
      </c>
      <c r="I82" s="89"/>
      <c r="J82" s="95">
        <v>0</v>
      </c>
      <c r="K82" s="94"/>
    </row>
    <row r="83" spans="2:11" x14ac:dyDescent="0.25">
      <c r="B83" s="89" t="s">
        <v>80</v>
      </c>
      <c r="C83" s="89" t="s">
        <v>81</v>
      </c>
      <c r="D83" s="89" t="s">
        <v>34</v>
      </c>
      <c r="E83" s="89" t="s">
        <v>245</v>
      </c>
      <c r="F83" s="89" t="s">
        <v>268</v>
      </c>
      <c r="G83" s="93" t="s">
        <v>269</v>
      </c>
      <c r="H83" s="93" t="s">
        <v>270</v>
      </c>
      <c r="I83" s="89"/>
      <c r="J83" s="95">
        <v>0</v>
      </c>
      <c r="K83" s="94"/>
    </row>
    <row r="84" spans="2:11" x14ac:dyDescent="0.25">
      <c r="B84" s="89" t="s">
        <v>80</v>
      </c>
      <c r="C84" s="89" t="s">
        <v>81</v>
      </c>
      <c r="D84" s="89" t="s">
        <v>33</v>
      </c>
      <c r="E84" s="89" t="s">
        <v>271</v>
      </c>
      <c r="F84" s="89" t="s">
        <v>272</v>
      </c>
      <c r="G84" s="93" t="s">
        <v>273</v>
      </c>
      <c r="H84" s="93" t="s">
        <v>106</v>
      </c>
      <c r="I84" s="89"/>
      <c r="J84" s="95">
        <v>0</v>
      </c>
      <c r="K84" s="94"/>
    </row>
    <row r="85" spans="2:11" x14ac:dyDescent="0.25">
      <c r="B85" s="89" t="s">
        <v>80</v>
      </c>
      <c r="C85" s="89" t="s">
        <v>81</v>
      </c>
      <c r="D85" s="89" t="s">
        <v>33</v>
      </c>
      <c r="E85" s="89" t="s">
        <v>271</v>
      </c>
      <c r="F85" s="89" t="s">
        <v>274</v>
      </c>
      <c r="G85" s="93" t="s">
        <v>275</v>
      </c>
      <c r="H85" s="93" t="s">
        <v>106</v>
      </c>
      <c r="I85" s="89"/>
      <c r="J85" s="95">
        <v>0</v>
      </c>
      <c r="K85" s="94"/>
    </row>
    <row r="86" spans="2:11" x14ac:dyDescent="0.25">
      <c r="B86" s="89" t="s">
        <v>80</v>
      </c>
      <c r="C86" s="89" t="s">
        <v>81</v>
      </c>
      <c r="D86" s="89" t="s">
        <v>33</v>
      </c>
      <c r="E86" s="89" t="s">
        <v>276</v>
      </c>
      <c r="F86" s="89" t="s">
        <v>277</v>
      </c>
      <c r="G86" s="93" t="s">
        <v>278</v>
      </c>
      <c r="H86" s="93" t="s">
        <v>106</v>
      </c>
      <c r="I86" s="89"/>
      <c r="J86" s="95">
        <v>0</v>
      </c>
      <c r="K86" s="94"/>
    </row>
    <row r="87" spans="2:11" x14ac:dyDescent="0.25">
      <c r="B87" s="89" t="s">
        <v>80</v>
      </c>
      <c r="C87" s="89" t="s">
        <v>81</v>
      </c>
      <c r="D87" s="89" t="s">
        <v>33</v>
      </c>
      <c r="E87" s="89" t="s">
        <v>276</v>
      </c>
      <c r="F87" s="89" t="s">
        <v>279</v>
      </c>
      <c r="G87" s="93" t="s">
        <v>280</v>
      </c>
      <c r="H87" s="93" t="s">
        <v>106</v>
      </c>
      <c r="I87" s="89"/>
      <c r="J87" s="95">
        <v>0</v>
      </c>
      <c r="K87" s="94"/>
    </row>
    <row r="88" spans="2:11" x14ac:dyDescent="0.25">
      <c r="B88" s="89" t="s">
        <v>80</v>
      </c>
      <c r="C88" s="89" t="s">
        <v>81</v>
      </c>
      <c r="D88" s="89" t="s">
        <v>33</v>
      </c>
      <c r="E88" s="89" t="s">
        <v>276</v>
      </c>
      <c r="F88" s="89" t="s">
        <v>281</v>
      </c>
      <c r="G88" s="93" t="s">
        <v>282</v>
      </c>
      <c r="H88" s="93" t="s">
        <v>106</v>
      </c>
      <c r="I88" s="89"/>
      <c r="J88" s="95">
        <v>0</v>
      </c>
      <c r="K88" s="94"/>
    </row>
    <row r="89" spans="2:11" x14ac:dyDescent="0.25">
      <c r="B89" s="89" t="s">
        <v>80</v>
      </c>
      <c r="C89" s="89" t="s">
        <v>81</v>
      </c>
      <c r="D89" s="89" t="s">
        <v>33</v>
      </c>
      <c r="E89" s="89" t="s">
        <v>283</v>
      </c>
      <c r="F89" s="89" t="s">
        <v>284</v>
      </c>
      <c r="G89" s="93" t="s">
        <v>285</v>
      </c>
      <c r="H89" s="93" t="s">
        <v>106</v>
      </c>
      <c r="I89" s="89"/>
      <c r="J89" s="95">
        <v>0</v>
      </c>
      <c r="K89" s="94"/>
    </row>
    <row r="90" spans="2:11" x14ac:dyDescent="0.25">
      <c r="B90" s="89" t="s">
        <v>80</v>
      </c>
      <c r="C90" s="89" t="s">
        <v>81</v>
      </c>
      <c r="D90" s="89" t="s">
        <v>33</v>
      </c>
      <c r="E90" s="89" t="s">
        <v>286</v>
      </c>
      <c r="F90" s="89" t="s">
        <v>287</v>
      </c>
      <c r="G90" s="93" t="s">
        <v>288</v>
      </c>
      <c r="H90" s="93" t="s">
        <v>106</v>
      </c>
      <c r="I90" s="89"/>
      <c r="J90" s="95">
        <v>0</v>
      </c>
      <c r="K90" s="94"/>
    </row>
    <row r="91" spans="2:11" x14ac:dyDescent="0.25">
      <c r="B91" s="89" t="s">
        <v>80</v>
      </c>
      <c r="C91" s="89" t="s">
        <v>81</v>
      </c>
      <c r="D91" s="89" t="s">
        <v>33</v>
      </c>
      <c r="E91" s="89" t="s">
        <v>286</v>
      </c>
      <c r="F91" s="89" t="s">
        <v>289</v>
      </c>
      <c r="G91" s="93" t="s">
        <v>290</v>
      </c>
      <c r="H91" s="93" t="s">
        <v>106</v>
      </c>
      <c r="I91" s="89"/>
      <c r="J91" s="95">
        <v>0</v>
      </c>
      <c r="K91" s="94"/>
    </row>
    <row r="92" spans="2:11" x14ac:dyDescent="0.25">
      <c r="B92" s="89" t="s">
        <v>80</v>
      </c>
      <c r="C92" s="89" t="s">
        <v>81</v>
      </c>
      <c r="D92" s="89" t="s">
        <v>33</v>
      </c>
      <c r="E92" s="89" t="s">
        <v>286</v>
      </c>
      <c r="F92" s="89" t="s">
        <v>291</v>
      </c>
      <c r="G92" s="93" t="s">
        <v>292</v>
      </c>
      <c r="H92" s="93" t="s">
        <v>106</v>
      </c>
      <c r="I92" s="89"/>
      <c r="J92" s="95">
        <v>0</v>
      </c>
      <c r="K92" s="94"/>
    </row>
    <row r="93" spans="2:11" x14ac:dyDescent="0.25">
      <c r="B93" s="89" t="s">
        <v>80</v>
      </c>
      <c r="C93" s="89" t="s">
        <v>81</v>
      </c>
      <c r="D93" s="89" t="s">
        <v>33</v>
      </c>
      <c r="E93" s="89" t="s">
        <v>286</v>
      </c>
      <c r="F93" s="89" t="s">
        <v>293</v>
      </c>
      <c r="G93" s="93" t="s">
        <v>294</v>
      </c>
      <c r="H93" s="93" t="s">
        <v>106</v>
      </c>
      <c r="I93" s="89"/>
      <c r="J93" s="95">
        <v>0</v>
      </c>
      <c r="K93" s="94"/>
    </row>
    <row r="94" spans="2:11" x14ac:dyDescent="0.25">
      <c r="B94" s="89" t="s">
        <v>80</v>
      </c>
      <c r="C94" s="89" t="s">
        <v>81</v>
      </c>
      <c r="D94" s="89" t="s">
        <v>33</v>
      </c>
      <c r="E94" s="89" t="s">
        <v>286</v>
      </c>
      <c r="F94" s="89" t="s">
        <v>295</v>
      </c>
      <c r="G94" s="93" t="s">
        <v>296</v>
      </c>
      <c r="H94" s="93" t="s">
        <v>106</v>
      </c>
      <c r="I94" s="89"/>
      <c r="J94" s="95">
        <v>0</v>
      </c>
      <c r="K94" s="94"/>
    </row>
    <row r="95" spans="2:11" x14ac:dyDescent="0.25">
      <c r="B95" s="89" t="s">
        <v>80</v>
      </c>
      <c r="C95" s="89" t="s">
        <v>81</v>
      </c>
      <c r="D95" s="89" t="s">
        <v>33</v>
      </c>
      <c r="E95" s="89" t="s">
        <v>286</v>
      </c>
      <c r="F95" s="89" t="s">
        <v>297</v>
      </c>
      <c r="G95" s="93" t="s">
        <v>298</v>
      </c>
      <c r="H95" s="93" t="s">
        <v>106</v>
      </c>
      <c r="I95" s="89"/>
      <c r="J95" s="95">
        <v>0</v>
      </c>
      <c r="K95" s="94"/>
    </row>
    <row r="96" spans="2:11" x14ac:dyDescent="0.25">
      <c r="B96" s="89" t="s">
        <v>80</v>
      </c>
      <c r="C96" s="89" t="s">
        <v>81</v>
      </c>
      <c r="D96" s="89" t="s">
        <v>33</v>
      </c>
      <c r="E96" s="89" t="s">
        <v>286</v>
      </c>
      <c r="F96" s="89" t="s">
        <v>299</v>
      </c>
      <c r="G96" s="93" t="s">
        <v>300</v>
      </c>
      <c r="H96" s="93" t="s">
        <v>106</v>
      </c>
      <c r="I96" s="89"/>
      <c r="J96" s="95">
        <v>0</v>
      </c>
      <c r="K96" s="94"/>
    </row>
    <row r="97" spans="2:11" x14ac:dyDescent="0.25">
      <c r="B97" s="89" t="s">
        <v>80</v>
      </c>
      <c r="C97" s="89" t="s">
        <v>81</v>
      </c>
      <c r="D97" s="89" t="s">
        <v>33</v>
      </c>
      <c r="E97" s="89" t="s">
        <v>286</v>
      </c>
      <c r="F97" s="89" t="s">
        <v>301</v>
      </c>
      <c r="G97" s="93" t="s">
        <v>302</v>
      </c>
      <c r="H97" s="93" t="s">
        <v>106</v>
      </c>
      <c r="I97" s="89"/>
      <c r="J97" s="95">
        <v>0</v>
      </c>
      <c r="K97" s="94"/>
    </row>
    <row r="98" spans="2:11" x14ac:dyDescent="0.25">
      <c r="B98" s="89" t="s">
        <v>80</v>
      </c>
      <c r="C98" s="89" t="s">
        <v>81</v>
      </c>
      <c r="D98" s="89" t="s">
        <v>33</v>
      </c>
      <c r="E98" s="89" t="s">
        <v>286</v>
      </c>
      <c r="F98" s="89" t="s">
        <v>303</v>
      </c>
      <c r="G98" s="93" t="s">
        <v>304</v>
      </c>
      <c r="H98" s="93" t="s">
        <v>106</v>
      </c>
      <c r="I98" s="89"/>
      <c r="J98" s="95">
        <v>0</v>
      </c>
      <c r="K98" s="94"/>
    </row>
    <row r="99" spans="2:11" x14ac:dyDescent="0.25">
      <c r="B99" s="89" t="s">
        <v>80</v>
      </c>
      <c r="C99" s="89" t="s">
        <v>81</v>
      </c>
      <c r="D99" s="89" t="s">
        <v>33</v>
      </c>
      <c r="E99" s="89" t="s">
        <v>286</v>
      </c>
      <c r="F99" s="89" t="s">
        <v>305</v>
      </c>
      <c r="G99" s="93" t="s">
        <v>306</v>
      </c>
      <c r="H99" s="93" t="s">
        <v>106</v>
      </c>
      <c r="I99" s="89"/>
      <c r="J99" s="95">
        <v>0</v>
      </c>
      <c r="K99" s="94"/>
    </row>
    <row r="100" spans="2:11" x14ac:dyDescent="0.25">
      <c r="B100" s="89" t="s">
        <v>80</v>
      </c>
      <c r="C100" s="89" t="s">
        <v>81</v>
      </c>
      <c r="D100" s="89" t="s">
        <v>33</v>
      </c>
      <c r="E100" s="89" t="s">
        <v>286</v>
      </c>
      <c r="F100" s="89" t="s">
        <v>307</v>
      </c>
      <c r="G100" s="93" t="s">
        <v>308</v>
      </c>
      <c r="H100" s="93" t="s">
        <v>106</v>
      </c>
      <c r="I100" s="89"/>
      <c r="J100" s="95">
        <v>0</v>
      </c>
      <c r="K100" s="94"/>
    </row>
    <row r="101" spans="2:11" x14ac:dyDescent="0.25">
      <c r="B101" s="89" t="s">
        <v>80</v>
      </c>
      <c r="C101" s="89" t="s">
        <v>81</v>
      </c>
      <c r="D101" s="89" t="s">
        <v>33</v>
      </c>
      <c r="E101" s="89" t="s">
        <v>286</v>
      </c>
      <c r="F101" s="89" t="s">
        <v>309</v>
      </c>
      <c r="G101" s="93" t="s">
        <v>310</v>
      </c>
      <c r="H101" s="93" t="s">
        <v>106</v>
      </c>
      <c r="I101" s="89"/>
      <c r="J101" s="95">
        <v>0</v>
      </c>
      <c r="K101" s="94"/>
    </row>
    <row r="102" spans="2:11" x14ac:dyDescent="0.25">
      <c r="B102" s="89" t="s">
        <v>80</v>
      </c>
      <c r="C102" s="89" t="s">
        <v>81</v>
      </c>
      <c r="D102" s="89" t="s">
        <v>33</v>
      </c>
      <c r="E102" s="89" t="s">
        <v>286</v>
      </c>
      <c r="F102" s="89" t="s">
        <v>311</v>
      </c>
      <c r="G102" s="93" t="s">
        <v>312</v>
      </c>
      <c r="H102" s="93" t="s">
        <v>106</v>
      </c>
      <c r="I102" s="89"/>
      <c r="J102" s="95">
        <v>0</v>
      </c>
      <c r="K102" s="94"/>
    </row>
    <row r="103" spans="2:11" x14ac:dyDescent="0.25">
      <c r="B103" s="89" t="s">
        <v>80</v>
      </c>
      <c r="C103" s="89" t="s">
        <v>81</v>
      </c>
      <c r="D103" s="89" t="s">
        <v>33</v>
      </c>
      <c r="E103" s="89" t="s">
        <v>313</v>
      </c>
      <c r="F103" s="89" t="s">
        <v>314</v>
      </c>
      <c r="G103" s="93" t="s">
        <v>315</v>
      </c>
      <c r="H103" s="93" t="s">
        <v>106</v>
      </c>
      <c r="I103" s="89"/>
      <c r="J103" s="95">
        <v>0</v>
      </c>
      <c r="K103" s="94"/>
    </row>
    <row r="104" spans="2:11" x14ac:dyDescent="0.25">
      <c r="B104" s="89" t="s">
        <v>80</v>
      </c>
      <c r="C104" s="89" t="s">
        <v>81</v>
      </c>
      <c r="D104" s="89" t="s">
        <v>33</v>
      </c>
      <c r="E104" s="89" t="s">
        <v>313</v>
      </c>
      <c r="F104" s="89" t="s">
        <v>316</v>
      </c>
      <c r="G104" s="93" t="s">
        <v>317</v>
      </c>
      <c r="H104" s="93" t="s">
        <v>106</v>
      </c>
      <c r="I104" s="89"/>
      <c r="J104" s="95">
        <v>0</v>
      </c>
      <c r="K104" s="94"/>
    </row>
    <row r="105" spans="2:11" x14ac:dyDescent="0.25">
      <c r="B105" s="89" t="s">
        <v>80</v>
      </c>
      <c r="C105" s="89" t="s">
        <v>81</v>
      </c>
      <c r="D105" s="89" t="s">
        <v>33</v>
      </c>
      <c r="E105" s="89" t="s">
        <v>318</v>
      </c>
      <c r="F105" s="89" t="s">
        <v>319</v>
      </c>
      <c r="G105" s="93" t="s">
        <v>320</v>
      </c>
      <c r="H105" s="93" t="s">
        <v>106</v>
      </c>
      <c r="I105" s="89"/>
      <c r="J105" s="95">
        <v>0</v>
      </c>
      <c r="K105" s="94"/>
    </row>
    <row r="106" spans="2:11" x14ac:dyDescent="0.25">
      <c r="B106" s="89" t="s">
        <v>80</v>
      </c>
      <c r="C106" s="89" t="s">
        <v>81</v>
      </c>
      <c r="D106" s="89" t="s">
        <v>33</v>
      </c>
      <c r="E106" s="89" t="s">
        <v>318</v>
      </c>
      <c r="F106" s="89" t="s">
        <v>321</v>
      </c>
      <c r="G106" s="93" t="s">
        <v>322</v>
      </c>
      <c r="H106" s="93" t="s">
        <v>106</v>
      </c>
      <c r="I106" s="89"/>
      <c r="J106" s="95">
        <v>0</v>
      </c>
      <c r="K106" s="94"/>
    </row>
    <row r="107" spans="2:11" x14ac:dyDescent="0.25">
      <c r="B107" s="89" t="s">
        <v>80</v>
      </c>
      <c r="C107" s="89" t="s">
        <v>81</v>
      </c>
      <c r="D107" s="89" t="s">
        <v>33</v>
      </c>
      <c r="E107" s="89" t="s">
        <v>318</v>
      </c>
      <c r="F107" s="89" t="s">
        <v>323</v>
      </c>
      <c r="G107" s="93" t="s">
        <v>324</v>
      </c>
      <c r="H107" s="93" t="s">
        <v>106</v>
      </c>
      <c r="I107" s="89"/>
      <c r="J107" s="95">
        <v>0</v>
      </c>
      <c r="K107" s="94"/>
    </row>
    <row r="108" spans="2:11" x14ac:dyDescent="0.25">
      <c r="B108" s="89" t="s">
        <v>80</v>
      </c>
      <c r="C108" s="89" t="s">
        <v>81</v>
      </c>
      <c r="D108" s="89" t="s">
        <v>33</v>
      </c>
      <c r="E108" s="89" t="s">
        <v>318</v>
      </c>
      <c r="F108" s="89" t="s">
        <v>325</v>
      </c>
      <c r="G108" s="93" t="s">
        <v>326</v>
      </c>
      <c r="H108" s="93" t="s">
        <v>106</v>
      </c>
      <c r="I108" s="89"/>
      <c r="J108" s="95">
        <v>0</v>
      </c>
      <c r="K108" s="94"/>
    </row>
    <row r="109" spans="2:11" x14ac:dyDescent="0.25">
      <c r="B109" s="89" t="s">
        <v>80</v>
      </c>
      <c r="C109" s="89" t="s">
        <v>81</v>
      </c>
      <c r="D109" s="89" t="s">
        <v>33</v>
      </c>
      <c r="E109" s="89" t="s">
        <v>318</v>
      </c>
      <c r="F109" s="89" t="s">
        <v>327</v>
      </c>
      <c r="G109" s="93" t="s">
        <v>328</v>
      </c>
      <c r="H109" s="93" t="s">
        <v>106</v>
      </c>
      <c r="I109" s="89"/>
      <c r="J109" s="95">
        <v>0</v>
      </c>
      <c r="K109" s="94"/>
    </row>
    <row r="110" spans="2:11" x14ac:dyDescent="0.25">
      <c r="B110" s="89" t="s">
        <v>80</v>
      </c>
      <c r="C110" s="89" t="s">
        <v>81</v>
      </c>
      <c r="D110" s="89" t="s">
        <v>33</v>
      </c>
      <c r="E110" s="89" t="s">
        <v>329</v>
      </c>
      <c r="F110" s="89" t="s">
        <v>330</v>
      </c>
      <c r="G110" s="93" t="s">
        <v>331</v>
      </c>
      <c r="H110" s="93" t="s">
        <v>106</v>
      </c>
      <c r="I110" s="89"/>
      <c r="J110" s="95">
        <v>0</v>
      </c>
      <c r="K110" s="94"/>
    </row>
    <row r="111" spans="2:11" x14ac:dyDescent="0.25">
      <c r="B111" s="89" t="s">
        <v>80</v>
      </c>
      <c r="C111" s="89" t="s">
        <v>81</v>
      </c>
      <c r="D111" s="89" t="s">
        <v>35</v>
      </c>
      <c r="E111" s="89" t="s">
        <v>332</v>
      </c>
      <c r="F111" s="89" t="s">
        <v>333</v>
      </c>
      <c r="G111" s="93" t="s">
        <v>334</v>
      </c>
      <c r="H111" s="93" t="s">
        <v>106</v>
      </c>
      <c r="I111" s="89"/>
      <c r="J111" s="95">
        <v>0</v>
      </c>
      <c r="K111" s="94"/>
    </row>
    <row r="112" spans="2:11" x14ac:dyDescent="0.25">
      <c r="B112" s="89" t="s">
        <v>80</v>
      </c>
      <c r="C112" s="89" t="s">
        <v>81</v>
      </c>
      <c r="D112" s="89" t="s">
        <v>35</v>
      </c>
      <c r="E112" s="89" t="s">
        <v>332</v>
      </c>
      <c r="F112" s="89" t="s">
        <v>335</v>
      </c>
      <c r="G112" s="93" t="s">
        <v>336</v>
      </c>
      <c r="H112" s="93" t="s">
        <v>106</v>
      </c>
      <c r="I112" s="89"/>
      <c r="J112" s="95">
        <v>0</v>
      </c>
      <c r="K112" s="94"/>
    </row>
    <row r="113" spans="2:11" x14ac:dyDescent="0.25">
      <c r="B113" s="89" t="s">
        <v>80</v>
      </c>
      <c r="C113" s="89" t="s">
        <v>81</v>
      </c>
      <c r="D113" s="89" t="s">
        <v>35</v>
      </c>
      <c r="E113" s="89" t="s">
        <v>332</v>
      </c>
      <c r="F113" s="89" t="s">
        <v>337</v>
      </c>
      <c r="G113" s="93" t="s">
        <v>338</v>
      </c>
      <c r="H113" s="93" t="s">
        <v>106</v>
      </c>
      <c r="I113" s="89"/>
      <c r="J113" s="95">
        <v>0</v>
      </c>
      <c r="K113" s="94"/>
    </row>
    <row r="114" spans="2:11" x14ac:dyDescent="0.25">
      <c r="B114" s="89" t="s">
        <v>80</v>
      </c>
      <c r="C114" s="89" t="s">
        <v>81</v>
      </c>
      <c r="D114" s="89" t="s">
        <v>35</v>
      </c>
      <c r="E114" s="89" t="s">
        <v>332</v>
      </c>
      <c r="F114" s="89" t="s">
        <v>339</v>
      </c>
      <c r="G114" s="93" t="s">
        <v>340</v>
      </c>
      <c r="H114" s="93" t="s">
        <v>106</v>
      </c>
      <c r="I114" s="89"/>
      <c r="J114" s="95">
        <v>0</v>
      </c>
      <c r="K114" s="94"/>
    </row>
    <row r="115" spans="2:11" x14ac:dyDescent="0.25">
      <c r="B115" s="89" t="s">
        <v>80</v>
      </c>
      <c r="C115" s="89" t="s">
        <v>81</v>
      </c>
      <c r="D115" s="89" t="s">
        <v>35</v>
      </c>
      <c r="E115" s="89" t="s">
        <v>332</v>
      </c>
      <c r="F115" s="89" t="s">
        <v>341</v>
      </c>
      <c r="G115" s="93" t="s">
        <v>342</v>
      </c>
      <c r="H115" s="93" t="s">
        <v>106</v>
      </c>
      <c r="I115" s="89"/>
      <c r="J115" s="95">
        <v>0</v>
      </c>
      <c r="K115" s="94"/>
    </row>
    <row r="116" spans="2:11" x14ac:dyDescent="0.25">
      <c r="B116" s="89" t="s">
        <v>80</v>
      </c>
      <c r="C116" s="89" t="s">
        <v>81</v>
      </c>
      <c r="D116" s="89" t="s">
        <v>35</v>
      </c>
      <c r="E116" s="89" t="s">
        <v>332</v>
      </c>
      <c r="F116" s="89" t="s">
        <v>343</v>
      </c>
      <c r="G116" s="93" t="s">
        <v>344</v>
      </c>
      <c r="H116" s="93" t="s">
        <v>106</v>
      </c>
      <c r="I116" s="89"/>
      <c r="J116" s="95">
        <v>0</v>
      </c>
      <c r="K116" s="94"/>
    </row>
    <row r="117" spans="2:11" x14ac:dyDescent="0.25">
      <c r="B117" s="89" t="s">
        <v>80</v>
      </c>
      <c r="C117" s="89" t="s">
        <v>81</v>
      </c>
      <c r="D117" s="89" t="s">
        <v>35</v>
      </c>
      <c r="E117" s="89" t="s">
        <v>332</v>
      </c>
      <c r="F117" s="89" t="s">
        <v>345</v>
      </c>
      <c r="G117" s="93" t="s">
        <v>346</v>
      </c>
      <c r="H117" s="93" t="s">
        <v>106</v>
      </c>
      <c r="I117" s="89"/>
      <c r="J117" s="95">
        <v>0</v>
      </c>
      <c r="K117" s="94"/>
    </row>
    <row r="118" spans="2:11" x14ac:dyDescent="0.25">
      <c r="B118" s="89" t="s">
        <v>80</v>
      </c>
      <c r="C118" s="89" t="s">
        <v>81</v>
      </c>
      <c r="D118" s="89" t="s">
        <v>35</v>
      </c>
      <c r="E118" s="89" t="s">
        <v>347</v>
      </c>
      <c r="F118" s="89" t="s">
        <v>348</v>
      </c>
      <c r="G118" s="93" t="s">
        <v>349</v>
      </c>
      <c r="H118" s="93" t="s">
        <v>106</v>
      </c>
      <c r="I118" s="89"/>
      <c r="J118" s="95">
        <v>0</v>
      </c>
      <c r="K118" s="94"/>
    </row>
    <row r="119" spans="2:11" x14ac:dyDescent="0.25">
      <c r="B119" s="89" t="s">
        <v>80</v>
      </c>
      <c r="C119" s="89" t="s">
        <v>81</v>
      </c>
      <c r="D119" s="89" t="s">
        <v>35</v>
      </c>
      <c r="E119" s="89" t="s">
        <v>347</v>
      </c>
      <c r="F119" s="89" t="s">
        <v>350</v>
      </c>
      <c r="G119" s="93" t="s">
        <v>351</v>
      </c>
      <c r="H119" s="93" t="s">
        <v>106</v>
      </c>
      <c r="I119" s="89"/>
      <c r="J119" s="95">
        <v>0</v>
      </c>
      <c r="K119" s="94"/>
    </row>
    <row r="120" spans="2:11" x14ac:dyDescent="0.25">
      <c r="B120" s="89" t="s">
        <v>80</v>
      </c>
      <c r="C120" s="89" t="s">
        <v>81</v>
      </c>
      <c r="D120" s="89" t="s">
        <v>35</v>
      </c>
      <c r="E120" s="89" t="s">
        <v>347</v>
      </c>
      <c r="F120" s="89" t="s">
        <v>352</v>
      </c>
      <c r="G120" s="93" t="s">
        <v>353</v>
      </c>
      <c r="H120" s="93" t="s">
        <v>106</v>
      </c>
      <c r="I120" s="89"/>
      <c r="J120" s="95">
        <v>0</v>
      </c>
      <c r="K120" s="94"/>
    </row>
    <row r="121" spans="2:11" x14ac:dyDescent="0.25">
      <c r="B121" s="89" t="s">
        <v>80</v>
      </c>
      <c r="C121" s="89" t="s">
        <v>81</v>
      </c>
      <c r="D121" s="89" t="s">
        <v>35</v>
      </c>
      <c r="E121" s="89" t="s">
        <v>347</v>
      </c>
      <c r="F121" s="89" t="s">
        <v>354</v>
      </c>
      <c r="G121" s="93" t="s">
        <v>355</v>
      </c>
      <c r="H121" s="93" t="s">
        <v>106</v>
      </c>
      <c r="I121" s="89"/>
      <c r="J121" s="95">
        <v>0</v>
      </c>
      <c r="K121" s="94"/>
    </row>
    <row r="122" spans="2:11" x14ac:dyDescent="0.25">
      <c r="B122" s="89" t="s">
        <v>80</v>
      </c>
      <c r="C122" s="89" t="s">
        <v>81</v>
      </c>
      <c r="D122" s="89" t="s">
        <v>35</v>
      </c>
      <c r="E122" s="89" t="s">
        <v>347</v>
      </c>
      <c r="F122" s="89" t="s">
        <v>356</v>
      </c>
      <c r="G122" s="93" t="s">
        <v>357</v>
      </c>
      <c r="H122" s="93" t="s">
        <v>106</v>
      </c>
      <c r="I122" s="89"/>
      <c r="J122" s="95">
        <v>0</v>
      </c>
      <c r="K122" s="94"/>
    </row>
    <row r="123" spans="2:11" x14ac:dyDescent="0.25">
      <c r="B123" s="89" t="s">
        <v>80</v>
      </c>
      <c r="C123" s="89" t="s">
        <v>81</v>
      </c>
      <c r="D123" s="89" t="s">
        <v>35</v>
      </c>
      <c r="E123" s="89" t="s">
        <v>347</v>
      </c>
      <c r="F123" s="89" t="s">
        <v>358</v>
      </c>
      <c r="G123" s="93" t="s">
        <v>359</v>
      </c>
      <c r="H123" s="93" t="s">
        <v>106</v>
      </c>
      <c r="I123" s="89"/>
      <c r="J123" s="95">
        <v>0</v>
      </c>
      <c r="K123" s="94"/>
    </row>
    <row r="124" spans="2:11" x14ac:dyDescent="0.25">
      <c r="B124" s="89" t="s">
        <v>80</v>
      </c>
      <c r="C124" s="89" t="s">
        <v>81</v>
      </c>
      <c r="D124" s="89" t="s">
        <v>35</v>
      </c>
      <c r="E124" s="89" t="s">
        <v>347</v>
      </c>
      <c r="F124" s="89" t="s">
        <v>360</v>
      </c>
      <c r="G124" s="93" t="s">
        <v>361</v>
      </c>
      <c r="H124" s="93" t="s">
        <v>106</v>
      </c>
      <c r="I124" s="89"/>
      <c r="J124" s="95">
        <v>0</v>
      </c>
      <c r="K124" s="94"/>
    </row>
    <row r="125" spans="2:11" x14ac:dyDescent="0.25">
      <c r="B125" s="89" t="s">
        <v>80</v>
      </c>
      <c r="C125" s="89" t="s">
        <v>81</v>
      </c>
      <c r="D125" s="89" t="s">
        <v>35</v>
      </c>
      <c r="E125" s="89" t="s">
        <v>347</v>
      </c>
      <c r="F125" s="89" t="s">
        <v>362</v>
      </c>
      <c r="G125" s="93" t="s">
        <v>363</v>
      </c>
      <c r="H125" s="93" t="s">
        <v>106</v>
      </c>
      <c r="I125" s="89"/>
      <c r="J125" s="95">
        <v>0</v>
      </c>
      <c r="K125" s="94"/>
    </row>
    <row r="126" spans="2:11" x14ac:dyDescent="0.25">
      <c r="B126" s="89" t="s">
        <v>80</v>
      </c>
      <c r="C126" s="89" t="s">
        <v>81</v>
      </c>
      <c r="D126" s="89" t="s">
        <v>35</v>
      </c>
      <c r="E126" s="89" t="s">
        <v>347</v>
      </c>
      <c r="F126" s="89" t="s">
        <v>364</v>
      </c>
      <c r="G126" s="93" t="s">
        <v>365</v>
      </c>
      <c r="H126" s="93" t="s">
        <v>106</v>
      </c>
      <c r="I126" s="89"/>
      <c r="J126" s="95">
        <v>0</v>
      </c>
      <c r="K126" s="94"/>
    </row>
    <row r="127" spans="2:11" x14ac:dyDescent="0.25">
      <c r="B127" s="89" t="s">
        <v>80</v>
      </c>
      <c r="C127" s="89" t="s">
        <v>81</v>
      </c>
      <c r="D127" s="89" t="s">
        <v>35</v>
      </c>
      <c r="E127" s="89" t="s">
        <v>347</v>
      </c>
      <c r="F127" s="89" t="s">
        <v>366</v>
      </c>
      <c r="G127" s="93" t="s">
        <v>367</v>
      </c>
      <c r="H127" s="93" t="s">
        <v>106</v>
      </c>
      <c r="I127" s="89"/>
      <c r="J127" s="95">
        <v>0</v>
      </c>
      <c r="K127" s="94"/>
    </row>
    <row r="128" spans="2:11" x14ac:dyDescent="0.25">
      <c r="B128" s="89" t="s">
        <v>80</v>
      </c>
      <c r="C128" s="89" t="s">
        <v>81</v>
      </c>
      <c r="D128" s="89" t="s">
        <v>35</v>
      </c>
      <c r="E128" s="89" t="s">
        <v>347</v>
      </c>
      <c r="F128" s="89" t="s">
        <v>368</v>
      </c>
      <c r="G128" s="93" t="s">
        <v>369</v>
      </c>
      <c r="H128" s="93" t="s">
        <v>106</v>
      </c>
      <c r="I128" s="89"/>
      <c r="J128" s="95">
        <v>0</v>
      </c>
      <c r="K128" s="94"/>
    </row>
    <row r="129" spans="2:11" x14ac:dyDescent="0.25">
      <c r="B129" s="89" t="s">
        <v>80</v>
      </c>
      <c r="C129" s="89" t="s">
        <v>81</v>
      </c>
      <c r="D129" s="89" t="s">
        <v>35</v>
      </c>
      <c r="E129" s="89" t="s">
        <v>347</v>
      </c>
      <c r="F129" s="89" t="s">
        <v>370</v>
      </c>
      <c r="G129" s="93" t="s">
        <v>371</v>
      </c>
      <c r="H129" s="93" t="s">
        <v>106</v>
      </c>
      <c r="I129" s="89"/>
      <c r="J129" s="95">
        <v>0</v>
      </c>
      <c r="K129" s="94"/>
    </row>
    <row r="130" spans="2:11" x14ac:dyDescent="0.25">
      <c r="B130" s="89" t="s">
        <v>80</v>
      </c>
      <c r="C130" s="89" t="s">
        <v>81</v>
      </c>
      <c r="D130" s="89" t="s">
        <v>35</v>
      </c>
      <c r="E130" s="89" t="s">
        <v>347</v>
      </c>
      <c r="F130" s="89" t="s">
        <v>372</v>
      </c>
      <c r="G130" s="93" t="s">
        <v>373</v>
      </c>
      <c r="H130" s="93" t="s">
        <v>106</v>
      </c>
      <c r="I130" s="89"/>
      <c r="J130" s="95">
        <v>0</v>
      </c>
      <c r="K130" s="94"/>
    </row>
    <row r="131" spans="2:11" x14ac:dyDescent="0.25">
      <c r="B131" s="89" t="s">
        <v>80</v>
      </c>
      <c r="C131" s="89" t="s">
        <v>81</v>
      </c>
      <c r="D131" s="89" t="s">
        <v>35</v>
      </c>
      <c r="E131" s="89" t="s">
        <v>347</v>
      </c>
      <c r="F131" s="89" t="s">
        <v>374</v>
      </c>
      <c r="G131" s="93" t="s">
        <v>375</v>
      </c>
      <c r="H131" s="93" t="s">
        <v>106</v>
      </c>
      <c r="I131" s="89"/>
      <c r="J131" s="95">
        <v>0</v>
      </c>
      <c r="K131" s="94"/>
    </row>
    <row r="132" spans="2:11" x14ac:dyDescent="0.25">
      <c r="B132" s="89" t="s">
        <v>80</v>
      </c>
      <c r="C132" s="89" t="s">
        <v>81</v>
      </c>
      <c r="D132" s="89" t="s">
        <v>35</v>
      </c>
      <c r="E132" s="89" t="s">
        <v>347</v>
      </c>
      <c r="F132" s="89" t="s">
        <v>376</v>
      </c>
      <c r="G132" s="93" t="s">
        <v>377</v>
      </c>
      <c r="H132" s="93" t="s">
        <v>106</v>
      </c>
      <c r="I132" s="89"/>
      <c r="J132" s="95">
        <v>0</v>
      </c>
      <c r="K132" s="94"/>
    </row>
    <row r="133" spans="2:11" x14ac:dyDescent="0.25">
      <c r="B133" s="89" t="s">
        <v>80</v>
      </c>
      <c r="C133" s="89" t="s">
        <v>81</v>
      </c>
      <c r="D133" s="89" t="s">
        <v>35</v>
      </c>
      <c r="E133" s="89" t="s">
        <v>347</v>
      </c>
      <c r="F133" s="89" t="s">
        <v>378</v>
      </c>
      <c r="G133" s="93" t="s">
        <v>379</v>
      </c>
      <c r="H133" s="93" t="s">
        <v>106</v>
      </c>
      <c r="I133" s="89"/>
      <c r="J133" s="95">
        <v>0</v>
      </c>
      <c r="K133" s="94"/>
    </row>
    <row r="134" spans="2:11" x14ac:dyDescent="0.25">
      <c r="B134" s="89" t="s">
        <v>80</v>
      </c>
      <c r="C134" s="89" t="s">
        <v>81</v>
      </c>
      <c r="D134" s="89" t="s">
        <v>35</v>
      </c>
      <c r="E134" s="89" t="s">
        <v>347</v>
      </c>
      <c r="F134" s="89" t="s">
        <v>380</v>
      </c>
      <c r="G134" s="93" t="s">
        <v>381</v>
      </c>
      <c r="H134" s="93" t="s">
        <v>106</v>
      </c>
      <c r="I134" s="89"/>
      <c r="J134" s="95">
        <v>0</v>
      </c>
      <c r="K134" s="94"/>
    </row>
    <row r="135" spans="2:11" x14ac:dyDescent="0.25">
      <c r="B135" s="89" t="s">
        <v>80</v>
      </c>
      <c r="C135" s="89" t="s">
        <v>81</v>
      </c>
      <c r="D135" s="89" t="s">
        <v>35</v>
      </c>
      <c r="E135" s="89" t="s">
        <v>347</v>
      </c>
      <c r="F135" s="89" t="s">
        <v>382</v>
      </c>
      <c r="G135" s="93" t="s">
        <v>383</v>
      </c>
      <c r="H135" s="93" t="s">
        <v>106</v>
      </c>
      <c r="I135" s="89"/>
      <c r="J135" s="95">
        <v>0</v>
      </c>
      <c r="K135" s="94"/>
    </row>
    <row r="136" spans="2:11" x14ac:dyDescent="0.25">
      <c r="B136" s="89" t="s">
        <v>80</v>
      </c>
      <c r="C136" s="89" t="s">
        <v>81</v>
      </c>
      <c r="D136" s="89" t="s">
        <v>35</v>
      </c>
      <c r="E136" s="89" t="s">
        <v>347</v>
      </c>
      <c r="F136" s="89" t="s">
        <v>384</v>
      </c>
      <c r="G136" s="93" t="s">
        <v>385</v>
      </c>
      <c r="H136" s="93" t="s">
        <v>106</v>
      </c>
      <c r="I136" s="89"/>
      <c r="J136" s="95">
        <v>0</v>
      </c>
      <c r="K136" s="94"/>
    </row>
    <row r="137" spans="2:11" x14ac:dyDescent="0.25">
      <c r="B137" s="89" t="s">
        <v>80</v>
      </c>
      <c r="C137" s="89" t="s">
        <v>81</v>
      </c>
      <c r="D137" s="89" t="s">
        <v>35</v>
      </c>
      <c r="E137" s="89" t="s">
        <v>347</v>
      </c>
      <c r="F137" s="89" t="s">
        <v>386</v>
      </c>
      <c r="G137" s="93" t="s">
        <v>387</v>
      </c>
      <c r="H137" s="93" t="s">
        <v>106</v>
      </c>
      <c r="I137" s="89"/>
      <c r="J137" s="95">
        <v>0</v>
      </c>
      <c r="K137" s="94"/>
    </row>
    <row r="138" spans="2:11" x14ac:dyDescent="0.25">
      <c r="B138" s="89" t="s">
        <v>80</v>
      </c>
      <c r="C138" s="89" t="s">
        <v>81</v>
      </c>
      <c r="D138" s="89" t="s">
        <v>35</v>
      </c>
      <c r="E138" s="89" t="s">
        <v>347</v>
      </c>
      <c r="F138" s="89" t="s">
        <v>388</v>
      </c>
      <c r="G138" s="93" t="s">
        <v>389</v>
      </c>
      <c r="H138" s="93" t="s">
        <v>106</v>
      </c>
      <c r="I138" s="89"/>
      <c r="J138" s="95">
        <v>0</v>
      </c>
      <c r="K138" s="94"/>
    </row>
    <row r="139" spans="2:11" x14ac:dyDescent="0.25">
      <c r="B139" s="89" t="s">
        <v>80</v>
      </c>
      <c r="C139" s="89" t="s">
        <v>81</v>
      </c>
      <c r="D139" s="89" t="s">
        <v>35</v>
      </c>
      <c r="E139" s="89" t="s">
        <v>347</v>
      </c>
      <c r="F139" s="89" t="s">
        <v>390</v>
      </c>
      <c r="G139" s="93" t="s">
        <v>391</v>
      </c>
      <c r="H139" s="93" t="s">
        <v>106</v>
      </c>
      <c r="I139" s="89"/>
      <c r="J139" s="95">
        <v>0</v>
      </c>
      <c r="K139" s="94"/>
    </row>
    <row r="140" spans="2:11" x14ac:dyDescent="0.25">
      <c r="B140" s="89" t="s">
        <v>80</v>
      </c>
      <c r="C140" s="89" t="s">
        <v>81</v>
      </c>
      <c r="D140" s="89" t="s">
        <v>35</v>
      </c>
      <c r="E140" s="89" t="s">
        <v>347</v>
      </c>
      <c r="F140" s="89" t="s">
        <v>392</v>
      </c>
      <c r="G140" s="93" t="s">
        <v>393</v>
      </c>
      <c r="H140" s="93" t="s">
        <v>106</v>
      </c>
      <c r="I140" s="89"/>
      <c r="J140" s="95">
        <v>0</v>
      </c>
      <c r="K140" s="94"/>
    </row>
    <row r="141" spans="2:11" x14ac:dyDescent="0.25">
      <c r="B141" s="89" t="s">
        <v>80</v>
      </c>
      <c r="C141" s="89" t="s">
        <v>81</v>
      </c>
      <c r="D141" s="89" t="s">
        <v>35</v>
      </c>
      <c r="E141" s="89" t="s">
        <v>347</v>
      </c>
      <c r="F141" s="89" t="s">
        <v>394</v>
      </c>
      <c r="G141" s="93" t="s">
        <v>395</v>
      </c>
      <c r="H141" s="93" t="s">
        <v>106</v>
      </c>
      <c r="I141" s="89"/>
      <c r="J141" s="95">
        <v>0</v>
      </c>
      <c r="K141" s="94"/>
    </row>
    <row r="142" spans="2:11" x14ac:dyDescent="0.25">
      <c r="B142" s="89" t="s">
        <v>80</v>
      </c>
      <c r="C142" s="89" t="s">
        <v>81</v>
      </c>
      <c r="D142" s="89" t="s">
        <v>35</v>
      </c>
      <c r="E142" s="89" t="s">
        <v>347</v>
      </c>
      <c r="F142" s="89" t="s">
        <v>396</v>
      </c>
      <c r="G142" s="93" t="s">
        <v>397</v>
      </c>
      <c r="H142" s="93" t="s">
        <v>106</v>
      </c>
      <c r="I142" s="89"/>
      <c r="J142" s="95">
        <v>0</v>
      </c>
      <c r="K142" s="94"/>
    </row>
    <row r="143" spans="2:11" x14ac:dyDescent="0.25">
      <c r="B143" s="89" t="s">
        <v>80</v>
      </c>
      <c r="C143" s="89" t="s">
        <v>81</v>
      </c>
      <c r="D143" s="89" t="s">
        <v>35</v>
      </c>
      <c r="E143" s="89" t="s">
        <v>347</v>
      </c>
      <c r="F143" s="89" t="s">
        <v>398</v>
      </c>
      <c r="G143" s="93" t="s">
        <v>399</v>
      </c>
      <c r="H143" s="93" t="s">
        <v>106</v>
      </c>
      <c r="I143" s="89"/>
      <c r="J143" s="95">
        <v>0</v>
      </c>
      <c r="K143" s="94"/>
    </row>
    <row r="144" spans="2:11" x14ac:dyDescent="0.25">
      <c r="B144" s="89" t="s">
        <v>80</v>
      </c>
      <c r="C144" s="89" t="s">
        <v>81</v>
      </c>
      <c r="D144" s="89" t="s">
        <v>35</v>
      </c>
      <c r="E144" s="89" t="s">
        <v>347</v>
      </c>
      <c r="F144" s="89" t="s">
        <v>400</v>
      </c>
      <c r="G144" s="93" t="s">
        <v>401</v>
      </c>
      <c r="H144" s="93" t="s">
        <v>106</v>
      </c>
      <c r="I144" s="89"/>
      <c r="J144" s="95">
        <v>0</v>
      </c>
      <c r="K144" s="94"/>
    </row>
    <row r="145" spans="2:11" x14ac:dyDescent="0.25">
      <c r="B145" s="89" t="s">
        <v>80</v>
      </c>
      <c r="C145" s="89" t="s">
        <v>81</v>
      </c>
      <c r="D145" s="89" t="s">
        <v>35</v>
      </c>
      <c r="E145" s="89" t="s">
        <v>347</v>
      </c>
      <c r="F145" s="89" t="s">
        <v>402</v>
      </c>
      <c r="G145" s="93" t="s">
        <v>403</v>
      </c>
      <c r="H145" s="93" t="s">
        <v>106</v>
      </c>
      <c r="I145" s="89"/>
      <c r="J145" s="95">
        <v>0</v>
      </c>
      <c r="K145" s="94"/>
    </row>
    <row r="146" spans="2:11" x14ac:dyDescent="0.25">
      <c r="B146" s="89" t="s">
        <v>80</v>
      </c>
      <c r="C146" s="89" t="s">
        <v>81</v>
      </c>
      <c r="D146" s="89" t="s">
        <v>35</v>
      </c>
      <c r="E146" s="89" t="s">
        <v>347</v>
      </c>
      <c r="F146" s="89" t="s">
        <v>404</v>
      </c>
      <c r="G146" s="93" t="s">
        <v>405</v>
      </c>
      <c r="H146" s="93" t="s">
        <v>106</v>
      </c>
      <c r="I146" s="89"/>
      <c r="J146" s="95">
        <v>0</v>
      </c>
      <c r="K146" s="94"/>
    </row>
    <row r="147" spans="2:11" x14ac:dyDescent="0.25">
      <c r="B147" s="89" t="s">
        <v>80</v>
      </c>
      <c r="C147" s="89" t="s">
        <v>81</v>
      </c>
      <c r="D147" s="89" t="s">
        <v>35</v>
      </c>
      <c r="E147" s="89" t="s">
        <v>347</v>
      </c>
      <c r="F147" s="89" t="s">
        <v>406</v>
      </c>
      <c r="G147" s="93" t="s">
        <v>407</v>
      </c>
      <c r="H147" s="93" t="s">
        <v>106</v>
      </c>
      <c r="I147" s="89"/>
      <c r="J147" s="95">
        <v>0</v>
      </c>
      <c r="K147" s="94"/>
    </row>
    <row r="148" spans="2:11" x14ac:dyDescent="0.25">
      <c r="B148" s="89" t="s">
        <v>80</v>
      </c>
      <c r="C148" s="89" t="s">
        <v>81</v>
      </c>
      <c r="D148" s="89" t="s">
        <v>35</v>
      </c>
      <c r="E148" s="89" t="s">
        <v>347</v>
      </c>
      <c r="F148" s="89" t="s">
        <v>408</v>
      </c>
      <c r="G148" s="93" t="s">
        <v>409</v>
      </c>
      <c r="H148" s="93" t="s">
        <v>106</v>
      </c>
      <c r="I148" s="89"/>
      <c r="J148" s="95">
        <v>0</v>
      </c>
      <c r="K148" s="94"/>
    </row>
    <row r="149" spans="2:11" x14ac:dyDescent="0.25">
      <c r="B149" s="89" t="s">
        <v>80</v>
      </c>
      <c r="C149" s="89" t="s">
        <v>81</v>
      </c>
      <c r="D149" s="89" t="s">
        <v>35</v>
      </c>
      <c r="E149" s="89" t="s">
        <v>347</v>
      </c>
      <c r="F149" s="89" t="s">
        <v>410</v>
      </c>
      <c r="G149" s="93" t="s">
        <v>411</v>
      </c>
      <c r="H149" s="93" t="s">
        <v>106</v>
      </c>
      <c r="I149" s="89"/>
      <c r="J149" s="95">
        <v>0</v>
      </c>
      <c r="K149" s="94"/>
    </row>
    <row r="150" spans="2:11" x14ac:dyDescent="0.25">
      <c r="B150" s="89" t="s">
        <v>80</v>
      </c>
      <c r="C150" s="89" t="s">
        <v>81</v>
      </c>
      <c r="D150" s="89" t="s">
        <v>35</v>
      </c>
      <c r="E150" s="89" t="s">
        <v>347</v>
      </c>
      <c r="F150" s="89" t="s">
        <v>412</v>
      </c>
      <c r="G150" s="93" t="s">
        <v>413</v>
      </c>
      <c r="H150" s="93" t="s">
        <v>106</v>
      </c>
      <c r="I150" s="89"/>
      <c r="J150" s="95">
        <v>0</v>
      </c>
      <c r="K150" s="94"/>
    </row>
    <row r="151" spans="2:11" x14ac:dyDescent="0.25">
      <c r="B151" s="89" t="s">
        <v>80</v>
      </c>
      <c r="C151" s="89" t="s">
        <v>81</v>
      </c>
      <c r="D151" s="89" t="s">
        <v>35</v>
      </c>
      <c r="E151" s="89" t="s">
        <v>347</v>
      </c>
      <c r="F151" s="89" t="s">
        <v>414</v>
      </c>
      <c r="G151" s="93" t="s">
        <v>415</v>
      </c>
      <c r="H151" s="93" t="s">
        <v>106</v>
      </c>
      <c r="I151" s="89"/>
      <c r="J151" s="95">
        <v>0</v>
      </c>
      <c r="K151" s="94"/>
    </row>
    <row r="152" spans="2:11" x14ac:dyDescent="0.25">
      <c r="B152" s="89" t="s">
        <v>80</v>
      </c>
      <c r="C152" s="89" t="s">
        <v>81</v>
      </c>
      <c r="D152" s="89" t="s">
        <v>35</v>
      </c>
      <c r="E152" s="89" t="s">
        <v>347</v>
      </c>
      <c r="F152" s="89" t="s">
        <v>416</v>
      </c>
      <c r="G152" s="93" t="s">
        <v>417</v>
      </c>
      <c r="H152" s="93" t="s">
        <v>106</v>
      </c>
      <c r="I152" s="89"/>
      <c r="J152" s="95">
        <v>0</v>
      </c>
      <c r="K152" s="94"/>
    </row>
    <row r="153" spans="2:11" x14ac:dyDescent="0.25">
      <c r="B153" s="89" t="s">
        <v>80</v>
      </c>
      <c r="C153" s="89" t="s">
        <v>81</v>
      </c>
      <c r="D153" s="89" t="s">
        <v>35</v>
      </c>
      <c r="E153" s="89" t="s">
        <v>347</v>
      </c>
      <c r="F153" s="89" t="s">
        <v>418</v>
      </c>
      <c r="G153" s="93" t="s">
        <v>419</v>
      </c>
      <c r="H153" s="93" t="s">
        <v>106</v>
      </c>
      <c r="I153" s="89"/>
      <c r="J153" s="95">
        <v>0</v>
      </c>
      <c r="K153" s="94"/>
    </row>
    <row r="154" spans="2:11" x14ac:dyDescent="0.25">
      <c r="B154" s="89" t="s">
        <v>80</v>
      </c>
      <c r="C154" s="89" t="s">
        <v>81</v>
      </c>
      <c r="D154" s="89" t="s">
        <v>35</v>
      </c>
      <c r="E154" s="89" t="s">
        <v>347</v>
      </c>
      <c r="F154" s="89" t="s">
        <v>420</v>
      </c>
      <c r="G154" s="93" t="s">
        <v>421</v>
      </c>
      <c r="H154" s="93" t="s">
        <v>106</v>
      </c>
      <c r="I154" s="89"/>
      <c r="J154" s="95">
        <v>0</v>
      </c>
      <c r="K154" s="94"/>
    </row>
    <row r="155" spans="2:11" x14ac:dyDescent="0.25">
      <c r="B155" s="89" t="s">
        <v>80</v>
      </c>
      <c r="C155" s="89" t="s">
        <v>81</v>
      </c>
      <c r="D155" s="89" t="s">
        <v>35</v>
      </c>
      <c r="E155" s="89" t="s">
        <v>347</v>
      </c>
      <c r="F155" s="89" t="s">
        <v>422</v>
      </c>
      <c r="G155" s="93" t="s">
        <v>423</v>
      </c>
      <c r="H155" s="93" t="s">
        <v>106</v>
      </c>
      <c r="I155" s="89"/>
      <c r="J155" s="95">
        <v>0</v>
      </c>
      <c r="K155" s="94"/>
    </row>
    <row r="156" spans="2:11" x14ac:dyDescent="0.25">
      <c r="B156" s="89" t="s">
        <v>80</v>
      </c>
      <c r="C156" s="89" t="s">
        <v>81</v>
      </c>
      <c r="D156" s="89" t="s">
        <v>35</v>
      </c>
      <c r="E156" s="89" t="s">
        <v>347</v>
      </c>
      <c r="F156" s="89" t="s">
        <v>424</v>
      </c>
      <c r="G156" s="93" t="s">
        <v>425</v>
      </c>
      <c r="H156" s="93" t="s">
        <v>106</v>
      </c>
      <c r="I156" s="89"/>
      <c r="J156" s="95">
        <v>0</v>
      </c>
      <c r="K156" s="94"/>
    </row>
    <row r="157" spans="2:11" x14ac:dyDescent="0.25">
      <c r="B157" s="89" t="s">
        <v>80</v>
      </c>
      <c r="C157" s="89" t="s">
        <v>81</v>
      </c>
      <c r="D157" s="89" t="s">
        <v>35</v>
      </c>
      <c r="E157" s="89" t="s">
        <v>347</v>
      </c>
      <c r="F157" s="89" t="s">
        <v>426</v>
      </c>
      <c r="G157" s="93" t="s">
        <v>427</v>
      </c>
      <c r="H157" s="93" t="s">
        <v>106</v>
      </c>
      <c r="I157" s="89"/>
      <c r="J157" s="95">
        <v>0</v>
      </c>
      <c r="K157" s="94"/>
    </row>
    <row r="158" spans="2:11" x14ac:dyDescent="0.25">
      <c r="B158" s="89" t="s">
        <v>80</v>
      </c>
      <c r="C158" s="89" t="s">
        <v>81</v>
      </c>
      <c r="D158" s="89" t="s">
        <v>35</v>
      </c>
      <c r="E158" s="89" t="s">
        <v>347</v>
      </c>
      <c r="F158" s="89" t="s">
        <v>428</v>
      </c>
      <c r="G158" s="93" t="s">
        <v>429</v>
      </c>
      <c r="H158" s="93" t="s">
        <v>106</v>
      </c>
      <c r="I158" s="89"/>
      <c r="J158" s="95">
        <v>0</v>
      </c>
      <c r="K158" s="94"/>
    </row>
    <row r="159" spans="2:11" x14ac:dyDescent="0.25">
      <c r="B159" s="89" t="s">
        <v>80</v>
      </c>
      <c r="C159" s="89" t="s">
        <v>81</v>
      </c>
      <c r="D159" s="89" t="s">
        <v>35</v>
      </c>
      <c r="E159" s="89" t="s">
        <v>347</v>
      </c>
      <c r="F159" s="89" t="s">
        <v>430</v>
      </c>
      <c r="G159" s="93" t="s">
        <v>431</v>
      </c>
      <c r="H159" s="93" t="s">
        <v>106</v>
      </c>
      <c r="I159" s="89"/>
      <c r="J159" s="95">
        <v>0</v>
      </c>
      <c r="K159" s="94"/>
    </row>
    <row r="160" spans="2:11" x14ac:dyDescent="0.25">
      <c r="B160" s="89" t="s">
        <v>80</v>
      </c>
      <c r="C160" s="89" t="s">
        <v>81</v>
      </c>
      <c r="D160" s="89" t="s">
        <v>35</v>
      </c>
      <c r="E160" s="89" t="s">
        <v>347</v>
      </c>
      <c r="F160" s="89" t="s">
        <v>432</v>
      </c>
      <c r="G160" s="93" t="s">
        <v>433</v>
      </c>
      <c r="H160" s="93" t="s">
        <v>106</v>
      </c>
      <c r="I160" s="89"/>
      <c r="J160" s="95">
        <v>0</v>
      </c>
      <c r="K160" s="94"/>
    </row>
    <row r="161" spans="2:11" x14ac:dyDescent="0.25">
      <c r="B161" s="89" t="s">
        <v>80</v>
      </c>
      <c r="C161" s="89" t="s">
        <v>81</v>
      </c>
      <c r="D161" s="89" t="s">
        <v>35</v>
      </c>
      <c r="E161" s="89" t="s">
        <v>347</v>
      </c>
      <c r="F161" s="89" t="s">
        <v>434</v>
      </c>
      <c r="G161" s="93" t="s">
        <v>435</v>
      </c>
      <c r="H161" s="93" t="s">
        <v>106</v>
      </c>
      <c r="I161" s="89"/>
      <c r="J161" s="95">
        <v>0</v>
      </c>
      <c r="K161" s="94"/>
    </row>
    <row r="162" spans="2:11" x14ac:dyDescent="0.25">
      <c r="B162" s="89" t="s">
        <v>80</v>
      </c>
      <c r="C162" s="89" t="s">
        <v>81</v>
      </c>
      <c r="D162" s="89" t="s">
        <v>35</v>
      </c>
      <c r="E162" s="89" t="s">
        <v>347</v>
      </c>
      <c r="F162" s="89" t="s">
        <v>436</v>
      </c>
      <c r="G162" s="93" t="s">
        <v>437</v>
      </c>
      <c r="H162" s="93" t="s">
        <v>106</v>
      </c>
      <c r="I162" s="89"/>
      <c r="J162" s="95">
        <v>0</v>
      </c>
      <c r="K162" s="94"/>
    </row>
    <row r="163" spans="2:11" x14ac:dyDescent="0.25">
      <c r="B163" s="89" t="s">
        <v>80</v>
      </c>
      <c r="C163" s="89" t="s">
        <v>81</v>
      </c>
      <c r="D163" s="89" t="s">
        <v>35</v>
      </c>
      <c r="E163" s="89" t="s">
        <v>347</v>
      </c>
      <c r="F163" s="89" t="s">
        <v>438</v>
      </c>
      <c r="G163" s="93" t="s">
        <v>439</v>
      </c>
      <c r="H163" s="93" t="s">
        <v>106</v>
      </c>
      <c r="I163" s="89"/>
      <c r="J163" s="95">
        <v>0</v>
      </c>
      <c r="K163" s="94"/>
    </row>
    <row r="164" spans="2:11" x14ac:dyDescent="0.25">
      <c r="B164" s="89" t="s">
        <v>80</v>
      </c>
      <c r="C164" s="89" t="s">
        <v>81</v>
      </c>
      <c r="D164" s="89" t="s">
        <v>35</v>
      </c>
      <c r="E164" s="89" t="s">
        <v>347</v>
      </c>
      <c r="F164" s="89" t="s">
        <v>440</v>
      </c>
      <c r="G164" s="93" t="s">
        <v>441</v>
      </c>
      <c r="H164" s="93" t="s">
        <v>106</v>
      </c>
      <c r="I164" s="89"/>
      <c r="J164" s="95">
        <v>0</v>
      </c>
      <c r="K164" s="94"/>
    </row>
    <row r="165" spans="2:11" x14ac:dyDescent="0.25">
      <c r="B165" s="89" t="s">
        <v>80</v>
      </c>
      <c r="C165" s="89" t="s">
        <v>81</v>
      </c>
      <c r="D165" s="89" t="s">
        <v>35</v>
      </c>
      <c r="E165" s="89" t="s">
        <v>347</v>
      </c>
      <c r="F165" s="89" t="s">
        <v>442</v>
      </c>
      <c r="G165" s="93" t="s">
        <v>443</v>
      </c>
      <c r="H165" s="93" t="s">
        <v>106</v>
      </c>
      <c r="I165" s="89"/>
      <c r="J165" s="95">
        <v>0</v>
      </c>
      <c r="K165" s="94"/>
    </row>
    <row r="166" spans="2:11" x14ac:dyDescent="0.25">
      <c r="B166" s="89" t="s">
        <v>80</v>
      </c>
      <c r="C166" s="89" t="s">
        <v>81</v>
      </c>
      <c r="D166" s="89" t="s">
        <v>35</v>
      </c>
      <c r="E166" s="89" t="s">
        <v>347</v>
      </c>
      <c r="F166" s="89" t="s">
        <v>444</v>
      </c>
      <c r="G166" s="93" t="s">
        <v>445</v>
      </c>
      <c r="H166" s="93" t="s">
        <v>106</v>
      </c>
      <c r="I166" s="89"/>
      <c r="J166" s="95">
        <v>0</v>
      </c>
      <c r="K166" s="94"/>
    </row>
    <row r="167" spans="2:11" x14ac:dyDescent="0.25">
      <c r="B167" s="89" t="s">
        <v>80</v>
      </c>
      <c r="C167" s="89" t="s">
        <v>81</v>
      </c>
      <c r="D167" s="89" t="s">
        <v>35</v>
      </c>
      <c r="E167" s="89" t="s">
        <v>347</v>
      </c>
      <c r="F167" s="89" t="s">
        <v>446</v>
      </c>
      <c r="G167" s="93" t="s">
        <v>447</v>
      </c>
      <c r="H167" s="93" t="s">
        <v>106</v>
      </c>
      <c r="I167" s="89"/>
      <c r="J167" s="95">
        <v>0</v>
      </c>
      <c r="K167" s="94"/>
    </row>
    <row r="168" spans="2:11" x14ac:dyDescent="0.25">
      <c r="B168" s="89" t="s">
        <v>80</v>
      </c>
      <c r="C168" s="89" t="s">
        <v>81</v>
      </c>
      <c r="D168" s="89" t="s">
        <v>35</v>
      </c>
      <c r="E168" s="89" t="s">
        <v>347</v>
      </c>
      <c r="F168" s="89" t="s">
        <v>448</v>
      </c>
      <c r="G168" s="93" t="s">
        <v>449</v>
      </c>
      <c r="H168" s="93" t="s">
        <v>106</v>
      </c>
      <c r="I168" s="89"/>
      <c r="J168" s="95">
        <v>0</v>
      </c>
      <c r="K168" s="94"/>
    </row>
    <row r="169" spans="2:11" x14ac:dyDescent="0.25">
      <c r="B169" s="89" t="s">
        <v>80</v>
      </c>
      <c r="C169" s="89" t="s">
        <v>81</v>
      </c>
      <c r="D169" s="89" t="s">
        <v>35</v>
      </c>
      <c r="E169" s="89" t="s">
        <v>347</v>
      </c>
      <c r="F169" s="89" t="s">
        <v>450</v>
      </c>
      <c r="G169" s="93" t="s">
        <v>451</v>
      </c>
      <c r="H169" s="93" t="s">
        <v>106</v>
      </c>
      <c r="I169" s="89"/>
      <c r="J169" s="95">
        <v>0</v>
      </c>
      <c r="K169" s="94"/>
    </row>
    <row r="170" spans="2:11" x14ac:dyDescent="0.25">
      <c r="B170" s="89" t="s">
        <v>80</v>
      </c>
      <c r="C170" s="89" t="s">
        <v>81</v>
      </c>
      <c r="D170" s="89" t="s">
        <v>35</v>
      </c>
      <c r="E170" s="89" t="s">
        <v>347</v>
      </c>
      <c r="F170" s="89" t="s">
        <v>452</v>
      </c>
      <c r="G170" s="93" t="s">
        <v>453</v>
      </c>
      <c r="H170" s="93" t="s">
        <v>106</v>
      </c>
      <c r="I170" s="89"/>
      <c r="J170" s="95">
        <v>0</v>
      </c>
      <c r="K170" s="94"/>
    </row>
    <row r="171" spans="2:11" x14ac:dyDescent="0.25">
      <c r="B171" s="89" t="s">
        <v>80</v>
      </c>
      <c r="C171" s="89" t="s">
        <v>81</v>
      </c>
      <c r="D171" s="89" t="s">
        <v>35</v>
      </c>
      <c r="E171" s="89" t="s">
        <v>347</v>
      </c>
      <c r="F171" s="89" t="s">
        <v>454</v>
      </c>
      <c r="G171" s="93" t="s">
        <v>455</v>
      </c>
      <c r="H171" s="93" t="s">
        <v>106</v>
      </c>
      <c r="I171" s="89"/>
      <c r="J171" s="95">
        <v>0</v>
      </c>
      <c r="K171" s="94"/>
    </row>
    <row r="172" spans="2:11" x14ac:dyDescent="0.25">
      <c r="B172" s="89" t="s">
        <v>80</v>
      </c>
      <c r="C172" s="89" t="s">
        <v>81</v>
      </c>
      <c r="D172" s="89" t="s">
        <v>35</v>
      </c>
      <c r="E172" s="89" t="s">
        <v>347</v>
      </c>
      <c r="F172" s="89" t="s">
        <v>456</v>
      </c>
      <c r="G172" s="93" t="s">
        <v>457</v>
      </c>
      <c r="H172" s="93" t="s">
        <v>106</v>
      </c>
      <c r="I172" s="89"/>
      <c r="J172" s="95">
        <v>0</v>
      </c>
      <c r="K172" s="94"/>
    </row>
    <row r="173" spans="2:11" x14ac:dyDescent="0.25">
      <c r="B173" s="89" t="s">
        <v>80</v>
      </c>
      <c r="C173" s="89" t="s">
        <v>81</v>
      </c>
      <c r="D173" s="89" t="s">
        <v>35</v>
      </c>
      <c r="E173" s="89" t="s">
        <v>347</v>
      </c>
      <c r="F173" s="89" t="s">
        <v>458</v>
      </c>
      <c r="G173" s="93" t="s">
        <v>459</v>
      </c>
      <c r="H173" s="93" t="s">
        <v>106</v>
      </c>
      <c r="I173" s="89"/>
      <c r="J173" s="95">
        <v>0</v>
      </c>
      <c r="K173" s="94"/>
    </row>
    <row r="174" spans="2:11" x14ac:dyDescent="0.25">
      <c r="B174" s="89" t="s">
        <v>80</v>
      </c>
      <c r="C174" s="89" t="s">
        <v>81</v>
      </c>
      <c r="D174" s="89" t="s">
        <v>35</v>
      </c>
      <c r="E174" s="89" t="s">
        <v>347</v>
      </c>
      <c r="F174" s="89" t="s">
        <v>460</v>
      </c>
      <c r="G174" s="93" t="s">
        <v>461</v>
      </c>
      <c r="H174" s="93" t="s">
        <v>106</v>
      </c>
      <c r="I174" s="89"/>
      <c r="J174" s="95">
        <v>0</v>
      </c>
      <c r="K174" s="94"/>
    </row>
    <row r="175" spans="2:11" x14ac:dyDescent="0.25">
      <c r="B175" s="89" t="s">
        <v>80</v>
      </c>
      <c r="C175" s="89" t="s">
        <v>81</v>
      </c>
      <c r="D175" s="89" t="s">
        <v>35</v>
      </c>
      <c r="E175" s="89" t="s">
        <v>347</v>
      </c>
      <c r="F175" s="89" t="s">
        <v>462</v>
      </c>
      <c r="G175" s="93" t="s">
        <v>463</v>
      </c>
      <c r="H175" s="93" t="s">
        <v>106</v>
      </c>
      <c r="I175" s="89"/>
      <c r="J175" s="95">
        <v>0</v>
      </c>
      <c r="K175" s="94"/>
    </row>
    <row r="176" spans="2:11" x14ac:dyDescent="0.25">
      <c r="B176" s="89" t="s">
        <v>80</v>
      </c>
      <c r="C176" s="89" t="s">
        <v>81</v>
      </c>
      <c r="D176" s="89" t="s">
        <v>35</v>
      </c>
      <c r="E176" s="89" t="s">
        <v>347</v>
      </c>
      <c r="F176" s="89" t="s">
        <v>464</v>
      </c>
      <c r="G176" s="93" t="s">
        <v>465</v>
      </c>
      <c r="H176" s="93" t="s">
        <v>106</v>
      </c>
      <c r="I176" s="89"/>
      <c r="J176" s="95">
        <v>0</v>
      </c>
      <c r="K176" s="94"/>
    </row>
    <row r="177" spans="2:11" x14ac:dyDescent="0.25">
      <c r="B177" s="89" t="s">
        <v>80</v>
      </c>
      <c r="C177" s="89" t="s">
        <v>81</v>
      </c>
      <c r="D177" s="89" t="s">
        <v>35</v>
      </c>
      <c r="E177" s="89" t="s">
        <v>347</v>
      </c>
      <c r="F177" s="89" t="s">
        <v>466</v>
      </c>
      <c r="G177" s="93" t="s">
        <v>467</v>
      </c>
      <c r="H177" s="93" t="s">
        <v>106</v>
      </c>
      <c r="I177" s="89"/>
      <c r="J177" s="95">
        <v>0</v>
      </c>
      <c r="K177" s="94"/>
    </row>
    <row r="178" spans="2:11" x14ac:dyDescent="0.25">
      <c r="B178" s="89" t="s">
        <v>80</v>
      </c>
      <c r="C178" s="89" t="s">
        <v>81</v>
      </c>
      <c r="D178" s="89" t="s">
        <v>35</v>
      </c>
      <c r="E178" s="89" t="s">
        <v>347</v>
      </c>
      <c r="F178" s="89" t="s">
        <v>468</v>
      </c>
      <c r="G178" s="93" t="s">
        <v>469</v>
      </c>
      <c r="H178" s="93" t="s">
        <v>106</v>
      </c>
      <c r="I178" s="89"/>
      <c r="J178" s="95">
        <v>0</v>
      </c>
      <c r="K178" s="94"/>
    </row>
    <row r="179" spans="2:11" x14ac:dyDescent="0.25">
      <c r="B179" s="89" t="s">
        <v>80</v>
      </c>
      <c r="C179" s="89" t="s">
        <v>81</v>
      </c>
      <c r="D179" s="89" t="s">
        <v>35</v>
      </c>
      <c r="E179" s="89" t="s">
        <v>347</v>
      </c>
      <c r="F179" s="89" t="s">
        <v>470</v>
      </c>
      <c r="G179" s="93" t="s">
        <v>471</v>
      </c>
      <c r="H179" s="93" t="s">
        <v>106</v>
      </c>
      <c r="I179" s="89"/>
      <c r="J179" s="95">
        <v>0</v>
      </c>
      <c r="K179" s="94"/>
    </row>
    <row r="180" spans="2:11" x14ac:dyDescent="0.25">
      <c r="B180" s="89" t="s">
        <v>80</v>
      </c>
      <c r="C180" s="89" t="s">
        <v>81</v>
      </c>
      <c r="D180" s="89" t="s">
        <v>35</v>
      </c>
      <c r="E180" s="89" t="s">
        <v>347</v>
      </c>
      <c r="F180" s="89" t="s">
        <v>472</v>
      </c>
      <c r="G180" s="93" t="s">
        <v>473</v>
      </c>
      <c r="H180" s="93" t="s">
        <v>106</v>
      </c>
      <c r="I180" s="89"/>
      <c r="J180" s="95">
        <v>0</v>
      </c>
      <c r="K180" s="94"/>
    </row>
    <row r="181" spans="2:11" x14ac:dyDescent="0.25">
      <c r="B181" s="89" t="s">
        <v>80</v>
      </c>
      <c r="C181" s="89" t="s">
        <v>81</v>
      </c>
      <c r="D181" s="89" t="s">
        <v>35</v>
      </c>
      <c r="E181" s="89" t="s">
        <v>347</v>
      </c>
      <c r="F181" s="89" t="s">
        <v>474</v>
      </c>
      <c r="G181" s="93" t="s">
        <v>475</v>
      </c>
      <c r="H181" s="93" t="s">
        <v>106</v>
      </c>
      <c r="I181" s="89"/>
      <c r="J181" s="95">
        <v>0</v>
      </c>
      <c r="K181" s="94"/>
    </row>
    <row r="182" spans="2:11" x14ac:dyDescent="0.25">
      <c r="B182" s="89" t="s">
        <v>80</v>
      </c>
      <c r="C182" s="89" t="s">
        <v>81</v>
      </c>
      <c r="D182" s="89" t="s">
        <v>35</v>
      </c>
      <c r="E182" s="89" t="s">
        <v>347</v>
      </c>
      <c r="F182" s="89" t="s">
        <v>476</v>
      </c>
      <c r="G182" s="93" t="s">
        <v>477</v>
      </c>
      <c r="H182" s="93" t="s">
        <v>106</v>
      </c>
      <c r="I182" s="89"/>
      <c r="J182" s="95">
        <v>0</v>
      </c>
      <c r="K182" s="94"/>
    </row>
    <row r="183" spans="2:11" x14ac:dyDescent="0.25">
      <c r="B183" s="89" t="s">
        <v>80</v>
      </c>
      <c r="C183" s="89" t="s">
        <v>81</v>
      </c>
      <c r="D183" s="89" t="s">
        <v>35</v>
      </c>
      <c r="E183" s="89" t="s">
        <v>347</v>
      </c>
      <c r="F183" s="89" t="s">
        <v>478</v>
      </c>
      <c r="G183" s="93" t="s">
        <v>479</v>
      </c>
      <c r="H183" s="93" t="s">
        <v>106</v>
      </c>
      <c r="I183" s="89"/>
      <c r="J183" s="95">
        <v>0</v>
      </c>
      <c r="K183" s="94"/>
    </row>
    <row r="184" spans="2:11" x14ac:dyDescent="0.25">
      <c r="B184" s="89" t="s">
        <v>80</v>
      </c>
      <c r="C184" s="89" t="s">
        <v>81</v>
      </c>
      <c r="D184" s="89" t="s">
        <v>35</v>
      </c>
      <c r="E184" s="89" t="s">
        <v>347</v>
      </c>
      <c r="F184" s="89" t="s">
        <v>480</v>
      </c>
      <c r="G184" s="93" t="s">
        <v>481</v>
      </c>
      <c r="H184" s="93" t="s">
        <v>106</v>
      </c>
      <c r="I184" s="89"/>
      <c r="J184" s="95">
        <v>0</v>
      </c>
      <c r="K184" s="94"/>
    </row>
    <row r="185" spans="2:11" x14ac:dyDescent="0.25">
      <c r="B185" s="89" t="s">
        <v>80</v>
      </c>
      <c r="C185" s="89" t="s">
        <v>81</v>
      </c>
      <c r="D185" s="89" t="s">
        <v>35</v>
      </c>
      <c r="E185" s="89" t="s">
        <v>347</v>
      </c>
      <c r="F185" s="89" t="s">
        <v>482</v>
      </c>
      <c r="G185" s="93" t="s">
        <v>483</v>
      </c>
      <c r="H185" s="93" t="s">
        <v>106</v>
      </c>
      <c r="I185" s="89"/>
      <c r="J185" s="95">
        <v>0</v>
      </c>
      <c r="K185" s="94"/>
    </row>
    <row r="186" spans="2:11" x14ac:dyDescent="0.25">
      <c r="B186" s="89" t="s">
        <v>80</v>
      </c>
      <c r="C186" s="89" t="s">
        <v>81</v>
      </c>
      <c r="D186" s="89" t="s">
        <v>35</v>
      </c>
      <c r="E186" s="89" t="s">
        <v>347</v>
      </c>
      <c r="F186" s="89" t="s">
        <v>484</v>
      </c>
      <c r="G186" s="93" t="s">
        <v>485</v>
      </c>
      <c r="H186" s="93" t="s">
        <v>106</v>
      </c>
      <c r="I186" s="89"/>
      <c r="J186" s="95">
        <v>0</v>
      </c>
      <c r="K186" s="94"/>
    </row>
    <row r="187" spans="2:11" x14ac:dyDescent="0.25">
      <c r="B187" s="89" t="s">
        <v>80</v>
      </c>
      <c r="C187" s="89" t="s">
        <v>81</v>
      </c>
      <c r="D187" s="89" t="s">
        <v>35</v>
      </c>
      <c r="E187" s="89" t="s">
        <v>347</v>
      </c>
      <c r="F187" s="89" t="s">
        <v>486</v>
      </c>
      <c r="G187" s="93" t="s">
        <v>487</v>
      </c>
      <c r="H187" s="93" t="s">
        <v>106</v>
      </c>
      <c r="I187" s="89"/>
      <c r="J187" s="95">
        <v>0</v>
      </c>
      <c r="K187" s="94"/>
    </row>
    <row r="188" spans="2:11" x14ac:dyDescent="0.25">
      <c r="B188" s="89" t="s">
        <v>80</v>
      </c>
      <c r="C188" s="89" t="s">
        <v>81</v>
      </c>
      <c r="D188" s="89" t="s">
        <v>35</v>
      </c>
      <c r="E188" s="89" t="s">
        <v>347</v>
      </c>
      <c r="F188" s="89" t="s">
        <v>488</v>
      </c>
      <c r="G188" s="93" t="s">
        <v>489</v>
      </c>
      <c r="H188" s="93" t="s">
        <v>106</v>
      </c>
      <c r="I188" s="89"/>
      <c r="J188" s="95">
        <v>0</v>
      </c>
      <c r="K188" s="94"/>
    </row>
    <row r="189" spans="2:11" x14ac:dyDescent="0.25">
      <c r="B189" s="89" t="s">
        <v>80</v>
      </c>
      <c r="C189" s="89" t="s">
        <v>81</v>
      </c>
      <c r="D189" s="89" t="s">
        <v>35</v>
      </c>
      <c r="E189" s="89" t="s">
        <v>347</v>
      </c>
      <c r="F189" s="89" t="s">
        <v>490</v>
      </c>
      <c r="G189" s="93" t="s">
        <v>491</v>
      </c>
      <c r="H189" s="93" t="s">
        <v>106</v>
      </c>
      <c r="I189" s="89"/>
      <c r="J189" s="95">
        <v>0</v>
      </c>
      <c r="K189" s="94"/>
    </row>
    <row r="190" spans="2:11" x14ac:dyDescent="0.25">
      <c r="B190" s="89" t="s">
        <v>80</v>
      </c>
      <c r="C190" s="89" t="s">
        <v>81</v>
      </c>
      <c r="D190" s="89" t="s">
        <v>35</v>
      </c>
      <c r="E190" s="89" t="s">
        <v>347</v>
      </c>
      <c r="F190" s="89" t="s">
        <v>492</v>
      </c>
      <c r="G190" s="93" t="s">
        <v>493</v>
      </c>
      <c r="H190" s="93" t="s">
        <v>106</v>
      </c>
      <c r="I190" s="89"/>
      <c r="J190" s="95">
        <v>0</v>
      </c>
      <c r="K190" s="94"/>
    </row>
    <row r="191" spans="2:11" x14ac:dyDescent="0.25">
      <c r="B191" s="89" t="s">
        <v>80</v>
      </c>
      <c r="C191" s="89" t="s">
        <v>81</v>
      </c>
      <c r="D191" s="89" t="s">
        <v>35</v>
      </c>
      <c r="E191" s="89" t="s">
        <v>347</v>
      </c>
      <c r="F191" s="89" t="s">
        <v>494</v>
      </c>
      <c r="G191" s="93" t="s">
        <v>495</v>
      </c>
      <c r="H191" s="93" t="s">
        <v>106</v>
      </c>
      <c r="I191" s="89"/>
      <c r="J191" s="95">
        <v>0</v>
      </c>
      <c r="K191" s="94"/>
    </row>
    <row r="192" spans="2:11" x14ac:dyDescent="0.25">
      <c r="B192" s="89" t="s">
        <v>80</v>
      </c>
      <c r="C192" s="89" t="s">
        <v>81</v>
      </c>
      <c r="D192" s="89" t="s">
        <v>35</v>
      </c>
      <c r="E192" s="89" t="s">
        <v>347</v>
      </c>
      <c r="F192" s="89" t="s">
        <v>496</v>
      </c>
      <c r="G192" s="93" t="s">
        <v>497</v>
      </c>
      <c r="H192" s="93" t="s">
        <v>106</v>
      </c>
      <c r="I192" s="89"/>
      <c r="J192" s="95">
        <v>0</v>
      </c>
      <c r="K192" s="94"/>
    </row>
    <row r="193" spans="2:11" x14ac:dyDescent="0.25">
      <c r="B193" s="89" t="s">
        <v>80</v>
      </c>
      <c r="C193" s="89" t="s">
        <v>81</v>
      </c>
      <c r="D193" s="89" t="s">
        <v>35</v>
      </c>
      <c r="E193" s="89" t="s">
        <v>347</v>
      </c>
      <c r="F193" s="89" t="s">
        <v>498</v>
      </c>
      <c r="G193" s="93" t="s">
        <v>499</v>
      </c>
      <c r="H193" s="93" t="s">
        <v>106</v>
      </c>
      <c r="I193" s="89"/>
      <c r="J193" s="95">
        <v>0</v>
      </c>
      <c r="K193" s="94"/>
    </row>
    <row r="194" spans="2:11" x14ac:dyDescent="0.25">
      <c r="B194" s="89" t="s">
        <v>80</v>
      </c>
      <c r="C194" s="89" t="s">
        <v>81</v>
      </c>
      <c r="D194" s="89" t="s">
        <v>35</v>
      </c>
      <c r="E194" s="89" t="s">
        <v>347</v>
      </c>
      <c r="F194" s="89" t="s">
        <v>500</v>
      </c>
      <c r="G194" s="93" t="s">
        <v>501</v>
      </c>
      <c r="H194" s="93" t="s">
        <v>106</v>
      </c>
      <c r="I194" s="89"/>
      <c r="J194" s="95">
        <v>0</v>
      </c>
      <c r="K194" s="94"/>
    </row>
    <row r="195" spans="2:11" x14ac:dyDescent="0.25">
      <c r="B195" s="89" t="s">
        <v>80</v>
      </c>
      <c r="C195" s="89" t="s">
        <v>81</v>
      </c>
      <c r="D195" s="89" t="s">
        <v>35</v>
      </c>
      <c r="E195" s="89" t="s">
        <v>347</v>
      </c>
      <c r="F195" s="89" t="s">
        <v>502</v>
      </c>
      <c r="G195" s="93" t="s">
        <v>503</v>
      </c>
      <c r="H195" s="93" t="s">
        <v>106</v>
      </c>
      <c r="I195" s="89"/>
      <c r="J195" s="95">
        <v>0</v>
      </c>
      <c r="K195" s="94"/>
    </row>
    <row r="196" spans="2:11" x14ac:dyDescent="0.25">
      <c r="B196" s="89" t="s">
        <v>80</v>
      </c>
      <c r="C196" s="89" t="s">
        <v>81</v>
      </c>
      <c r="D196" s="89" t="s">
        <v>35</v>
      </c>
      <c r="E196" s="89" t="s">
        <v>347</v>
      </c>
      <c r="F196" s="89" t="s">
        <v>504</v>
      </c>
      <c r="G196" s="93" t="s">
        <v>505</v>
      </c>
      <c r="H196" s="93" t="s">
        <v>106</v>
      </c>
      <c r="I196" s="89"/>
      <c r="J196" s="95">
        <v>0</v>
      </c>
      <c r="K196" s="94"/>
    </row>
    <row r="197" spans="2:11" x14ac:dyDescent="0.25">
      <c r="B197" s="89" t="s">
        <v>80</v>
      </c>
      <c r="C197" s="89" t="s">
        <v>81</v>
      </c>
      <c r="D197" s="89" t="s">
        <v>35</v>
      </c>
      <c r="E197" s="89" t="s">
        <v>347</v>
      </c>
      <c r="F197" s="89" t="s">
        <v>506</v>
      </c>
      <c r="G197" s="93" t="s">
        <v>507</v>
      </c>
      <c r="H197" s="93" t="s">
        <v>106</v>
      </c>
      <c r="I197" s="89"/>
      <c r="J197" s="95">
        <v>0</v>
      </c>
      <c r="K197" s="94"/>
    </row>
    <row r="198" spans="2:11" x14ac:dyDescent="0.25">
      <c r="B198" s="89" t="s">
        <v>80</v>
      </c>
      <c r="C198" s="89" t="s">
        <v>81</v>
      </c>
      <c r="D198" s="89" t="s">
        <v>35</v>
      </c>
      <c r="E198" s="89" t="s">
        <v>347</v>
      </c>
      <c r="F198" s="89" t="s">
        <v>508</v>
      </c>
      <c r="G198" s="93" t="s">
        <v>509</v>
      </c>
      <c r="H198" s="93" t="s">
        <v>106</v>
      </c>
      <c r="I198" s="89"/>
      <c r="J198" s="95">
        <v>0</v>
      </c>
      <c r="K198" s="94"/>
    </row>
    <row r="199" spans="2:11" x14ac:dyDescent="0.25">
      <c r="B199" s="89" t="s">
        <v>80</v>
      </c>
      <c r="C199" s="89" t="s">
        <v>81</v>
      </c>
      <c r="D199" s="89" t="s">
        <v>35</v>
      </c>
      <c r="E199" s="89" t="s">
        <v>347</v>
      </c>
      <c r="F199" s="89" t="s">
        <v>510</v>
      </c>
      <c r="G199" s="93" t="s">
        <v>511</v>
      </c>
      <c r="H199" s="93" t="s">
        <v>106</v>
      </c>
      <c r="I199" s="89"/>
      <c r="J199" s="95">
        <v>0</v>
      </c>
      <c r="K199" s="94"/>
    </row>
    <row r="200" spans="2:11" x14ac:dyDescent="0.25">
      <c r="B200" s="89" t="s">
        <v>80</v>
      </c>
      <c r="C200" s="89" t="s">
        <v>81</v>
      </c>
      <c r="D200" s="89" t="s">
        <v>35</v>
      </c>
      <c r="E200" s="89" t="s">
        <v>347</v>
      </c>
      <c r="F200" s="89" t="s">
        <v>512</v>
      </c>
      <c r="G200" s="93" t="s">
        <v>513</v>
      </c>
      <c r="H200" s="93" t="s">
        <v>106</v>
      </c>
      <c r="I200" s="89"/>
      <c r="J200" s="95">
        <v>0</v>
      </c>
      <c r="K200" s="94"/>
    </row>
    <row r="201" spans="2:11" x14ac:dyDescent="0.25">
      <c r="B201" s="89" t="s">
        <v>80</v>
      </c>
      <c r="C201" s="89" t="s">
        <v>81</v>
      </c>
      <c r="D201" s="89" t="s">
        <v>35</v>
      </c>
      <c r="E201" s="89" t="s">
        <v>347</v>
      </c>
      <c r="F201" s="89" t="s">
        <v>514</v>
      </c>
      <c r="G201" s="93" t="s">
        <v>515</v>
      </c>
      <c r="H201" s="93" t="s">
        <v>106</v>
      </c>
      <c r="I201" s="89"/>
      <c r="J201" s="95">
        <v>0</v>
      </c>
      <c r="K201" s="94"/>
    </row>
    <row r="202" spans="2:11" x14ac:dyDescent="0.25">
      <c r="B202" s="89" t="s">
        <v>80</v>
      </c>
      <c r="C202" s="89" t="s">
        <v>81</v>
      </c>
      <c r="D202" s="89" t="s">
        <v>35</v>
      </c>
      <c r="E202" s="89" t="s">
        <v>347</v>
      </c>
      <c r="F202" s="89" t="s">
        <v>516</v>
      </c>
      <c r="G202" s="93" t="s">
        <v>517</v>
      </c>
      <c r="H202" s="93" t="s">
        <v>106</v>
      </c>
      <c r="I202" s="89"/>
      <c r="J202" s="95">
        <v>0</v>
      </c>
      <c r="K202" s="94"/>
    </row>
    <row r="203" spans="2:11" x14ac:dyDescent="0.25">
      <c r="B203" s="89" t="s">
        <v>80</v>
      </c>
      <c r="C203" s="89" t="s">
        <v>81</v>
      </c>
      <c r="D203" s="89" t="s">
        <v>35</v>
      </c>
      <c r="E203" s="89" t="s">
        <v>347</v>
      </c>
      <c r="F203" s="89" t="s">
        <v>518</v>
      </c>
      <c r="G203" s="93" t="s">
        <v>519</v>
      </c>
      <c r="H203" s="93" t="s">
        <v>106</v>
      </c>
      <c r="I203" s="89"/>
      <c r="J203" s="95">
        <v>0</v>
      </c>
      <c r="K203" s="94"/>
    </row>
    <row r="204" spans="2:11" x14ac:dyDescent="0.25">
      <c r="B204" s="89" t="s">
        <v>80</v>
      </c>
      <c r="C204" s="89" t="s">
        <v>81</v>
      </c>
      <c r="D204" s="89" t="s">
        <v>35</v>
      </c>
      <c r="E204" s="89" t="s">
        <v>347</v>
      </c>
      <c r="F204" s="89" t="s">
        <v>520</v>
      </c>
      <c r="G204" s="93" t="s">
        <v>521</v>
      </c>
      <c r="H204" s="93" t="s">
        <v>106</v>
      </c>
      <c r="I204" s="89"/>
      <c r="J204" s="95">
        <v>0</v>
      </c>
      <c r="K204" s="94"/>
    </row>
    <row r="205" spans="2:11" x14ac:dyDescent="0.25">
      <c r="B205" s="89" t="s">
        <v>80</v>
      </c>
      <c r="C205" s="89" t="s">
        <v>81</v>
      </c>
      <c r="D205" s="89" t="s">
        <v>35</v>
      </c>
      <c r="E205" s="89" t="s">
        <v>347</v>
      </c>
      <c r="F205" s="89" t="s">
        <v>522</v>
      </c>
      <c r="G205" s="93" t="s">
        <v>523</v>
      </c>
      <c r="H205" s="93" t="s">
        <v>106</v>
      </c>
      <c r="I205" s="89"/>
      <c r="J205" s="95">
        <v>0</v>
      </c>
      <c r="K205" s="94"/>
    </row>
    <row r="206" spans="2:11" x14ac:dyDescent="0.25">
      <c r="B206" s="89" t="s">
        <v>80</v>
      </c>
      <c r="C206" s="89" t="s">
        <v>81</v>
      </c>
      <c r="D206" s="89" t="s">
        <v>35</v>
      </c>
      <c r="E206" s="89" t="s">
        <v>347</v>
      </c>
      <c r="F206" s="89" t="s">
        <v>524</v>
      </c>
      <c r="G206" s="93" t="s">
        <v>525</v>
      </c>
      <c r="H206" s="93" t="s">
        <v>106</v>
      </c>
      <c r="I206" s="89"/>
      <c r="J206" s="95">
        <v>0</v>
      </c>
      <c r="K206" s="94"/>
    </row>
    <row r="207" spans="2:11" x14ac:dyDescent="0.25">
      <c r="B207" s="89" t="s">
        <v>80</v>
      </c>
      <c r="C207" s="89" t="s">
        <v>81</v>
      </c>
      <c r="D207" s="89" t="s">
        <v>35</v>
      </c>
      <c r="E207" s="89" t="s">
        <v>347</v>
      </c>
      <c r="F207" s="89" t="s">
        <v>526</v>
      </c>
      <c r="G207" s="93" t="s">
        <v>527</v>
      </c>
      <c r="H207" s="93" t="s">
        <v>106</v>
      </c>
      <c r="I207" s="89"/>
      <c r="J207" s="95">
        <v>0</v>
      </c>
      <c r="K207" s="94"/>
    </row>
    <row r="208" spans="2:11" x14ac:dyDescent="0.25">
      <c r="B208" s="89" t="s">
        <v>80</v>
      </c>
      <c r="C208" s="89" t="s">
        <v>81</v>
      </c>
      <c r="D208" s="89" t="s">
        <v>35</v>
      </c>
      <c r="E208" s="89" t="s">
        <v>347</v>
      </c>
      <c r="F208" s="89" t="s">
        <v>528</v>
      </c>
      <c r="G208" s="93" t="s">
        <v>529</v>
      </c>
      <c r="H208" s="93" t="s">
        <v>106</v>
      </c>
      <c r="I208" s="89"/>
      <c r="J208" s="95">
        <v>0</v>
      </c>
      <c r="K208" s="94"/>
    </row>
    <row r="209" spans="2:11" x14ac:dyDescent="0.25">
      <c r="B209" s="89" t="s">
        <v>80</v>
      </c>
      <c r="C209" s="89" t="s">
        <v>81</v>
      </c>
      <c r="D209" s="89" t="s">
        <v>35</v>
      </c>
      <c r="E209" s="89" t="s">
        <v>347</v>
      </c>
      <c r="F209" s="89" t="s">
        <v>530</v>
      </c>
      <c r="G209" s="93" t="s">
        <v>531</v>
      </c>
      <c r="H209" s="93" t="s">
        <v>106</v>
      </c>
      <c r="I209" s="89"/>
      <c r="J209" s="95">
        <v>0</v>
      </c>
      <c r="K209" s="94"/>
    </row>
    <row r="210" spans="2:11" x14ac:dyDescent="0.25">
      <c r="B210" s="89" t="s">
        <v>80</v>
      </c>
      <c r="C210" s="89" t="s">
        <v>81</v>
      </c>
      <c r="D210" s="89" t="s">
        <v>35</v>
      </c>
      <c r="E210" s="89" t="s">
        <v>532</v>
      </c>
      <c r="F210" s="89" t="s">
        <v>533</v>
      </c>
      <c r="G210" s="93" t="s">
        <v>534</v>
      </c>
      <c r="H210" s="93" t="s">
        <v>106</v>
      </c>
      <c r="I210" s="89"/>
      <c r="J210" s="95">
        <v>0</v>
      </c>
      <c r="K210" s="94"/>
    </row>
    <row r="211" spans="2:11" x14ac:dyDescent="0.25">
      <c r="B211" s="89" t="s">
        <v>80</v>
      </c>
      <c r="C211" s="89" t="s">
        <v>81</v>
      </c>
      <c r="D211" s="89" t="s">
        <v>35</v>
      </c>
      <c r="E211" s="89" t="s">
        <v>532</v>
      </c>
      <c r="F211" s="89" t="s">
        <v>535</v>
      </c>
      <c r="G211" s="93" t="s">
        <v>536</v>
      </c>
      <c r="H211" s="93" t="s">
        <v>106</v>
      </c>
      <c r="I211" s="89"/>
      <c r="J211" s="95">
        <v>0</v>
      </c>
      <c r="K211" s="94"/>
    </row>
    <row r="212" spans="2:11" x14ac:dyDescent="0.25">
      <c r="B212" s="89" t="s">
        <v>80</v>
      </c>
      <c r="C212" s="89" t="s">
        <v>81</v>
      </c>
      <c r="D212" s="89" t="s">
        <v>35</v>
      </c>
      <c r="E212" s="89" t="s">
        <v>532</v>
      </c>
      <c r="F212" s="89" t="s">
        <v>537</v>
      </c>
      <c r="G212" s="93" t="s">
        <v>538</v>
      </c>
      <c r="H212" s="93" t="s">
        <v>106</v>
      </c>
      <c r="I212" s="89"/>
      <c r="J212" s="95">
        <v>0</v>
      </c>
      <c r="K212" s="94"/>
    </row>
    <row r="213" spans="2:11" x14ac:dyDescent="0.25">
      <c r="B213" s="89" t="s">
        <v>80</v>
      </c>
      <c r="C213" s="89" t="s">
        <v>81</v>
      </c>
      <c r="D213" s="89" t="s">
        <v>35</v>
      </c>
      <c r="E213" s="89" t="s">
        <v>532</v>
      </c>
      <c r="F213" s="89" t="s">
        <v>539</v>
      </c>
      <c r="G213" s="93" t="s">
        <v>540</v>
      </c>
      <c r="H213" s="93" t="s">
        <v>106</v>
      </c>
      <c r="I213" s="89"/>
      <c r="J213" s="95">
        <v>0</v>
      </c>
      <c r="K213" s="94"/>
    </row>
    <row r="214" spans="2:11" x14ac:dyDescent="0.25">
      <c r="B214" s="89" t="s">
        <v>80</v>
      </c>
      <c r="C214" s="89" t="s">
        <v>81</v>
      </c>
      <c r="D214" s="89" t="s">
        <v>35</v>
      </c>
      <c r="E214" s="89" t="s">
        <v>532</v>
      </c>
      <c r="F214" s="89" t="s">
        <v>541</v>
      </c>
      <c r="G214" s="93" t="s">
        <v>542</v>
      </c>
      <c r="H214" s="93" t="s">
        <v>106</v>
      </c>
      <c r="I214" s="89"/>
      <c r="J214" s="95">
        <v>0</v>
      </c>
      <c r="K214" s="94"/>
    </row>
    <row r="215" spans="2:11" x14ac:dyDescent="0.25">
      <c r="B215" s="89" t="s">
        <v>80</v>
      </c>
      <c r="C215" s="89" t="s">
        <v>81</v>
      </c>
      <c r="D215" s="89" t="s">
        <v>35</v>
      </c>
      <c r="E215" s="89" t="s">
        <v>532</v>
      </c>
      <c r="F215" s="89" t="s">
        <v>543</v>
      </c>
      <c r="G215" s="93" t="s">
        <v>544</v>
      </c>
      <c r="H215" s="93" t="s">
        <v>106</v>
      </c>
      <c r="I215" s="89"/>
      <c r="J215" s="95">
        <v>0</v>
      </c>
      <c r="K215" s="94"/>
    </row>
    <row r="216" spans="2:11" x14ac:dyDescent="0.25">
      <c r="B216" s="89" t="s">
        <v>80</v>
      </c>
      <c r="C216" s="89" t="s">
        <v>81</v>
      </c>
      <c r="D216" s="89" t="s">
        <v>35</v>
      </c>
      <c r="E216" s="89" t="s">
        <v>532</v>
      </c>
      <c r="F216" s="89" t="s">
        <v>545</v>
      </c>
      <c r="G216" s="93" t="s">
        <v>546</v>
      </c>
      <c r="H216" s="93" t="s">
        <v>106</v>
      </c>
      <c r="I216" s="89"/>
      <c r="J216" s="95">
        <v>0</v>
      </c>
      <c r="K216" s="94"/>
    </row>
    <row r="217" spans="2:11" x14ac:dyDescent="0.25">
      <c r="B217" s="89" t="s">
        <v>80</v>
      </c>
      <c r="C217" s="89" t="s">
        <v>81</v>
      </c>
      <c r="D217" s="89" t="s">
        <v>35</v>
      </c>
      <c r="E217" s="89" t="s">
        <v>532</v>
      </c>
      <c r="F217" s="89" t="s">
        <v>547</v>
      </c>
      <c r="G217" s="93" t="s">
        <v>548</v>
      </c>
      <c r="H217" s="93" t="s">
        <v>106</v>
      </c>
      <c r="I217" s="89"/>
      <c r="J217" s="95">
        <v>0</v>
      </c>
      <c r="K217" s="94"/>
    </row>
    <row r="218" spans="2:11" x14ac:dyDescent="0.25">
      <c r="B218" s="89" t="s">
        <v>80</v>
      </c>
      <c r="C218" s="89" t="s">
        <v>81</v>
      </c>
      <c r="D218" s="89" t="s">
        <v>35</v>
      </c>
      <c r="E218" s="89" t="s">
        <v>532</v>
      </c>
      <c r="F218" s="89" t="s">
        <v>549</v>
      </c>
      <c r="G218" s="93" t="s">
        <v>550</v>
      </c>
      <c r="H218" s="93" t="s">
        <v>106</v>
      </c>
      <c r="I218" s="89"/>
      <c r="J218" s="95">
        <v>0</v>
      </c>
      <c r="K218" s="94"/>
    </row>
    <row r="219" spans="2:11" x14ac:dyDescent="0.25">
      <c r="B219" s="89" t="s">
        <v>80</v>
      </c>
      <c r="C219" s="89" t="s">
        <v>81</v>
      </c>
      <c r="D219" s="89" t="s">
        <v>35</v>
      </c>
      <c r="E219" s="89" t="s">
        <v>532</v>
      </c>
      <c r="F219" s="89" t="s">
        <v>551</v>
      </c>
      <c r="G219" s="93" t="s">
        <v>552</v>
      </c>
      <c r="H219" s="93" t="s">
        <v>106</v>
      </c>
      <c r="I219" s="89"/>
      <c r="J219" s="95">
        <v>0</v>
      </c>
      <c r="K219" s="94"/>
    </row>
    <row r="220" spans="2:11" x14ac:dyDescent="0.25">
      <c r="B220" s="89" t="s">
        <v>80</v>
      </c>
      <c r="C220" s="89" t="s">
        <v>81</v>
      </c>
      <c r="D220" s="89" t="s">
        <v>35</v>
      </c>
      <c r="E220" s="89" t="s">
        <v>532</v>
      </c>
      <c r="F220" s="89" t="s">
        <v>553</v>
      </c>
      <c r="G220" s="93" t="s">
        <v>554</v>
      </c>
      <c r="H220" s="93" t="s">
        <v>106</v>
      </c>
      <c r="I220" s="89"/>
      <c r="J220" s="95">
        <v>0</v>
      </c>
      <c r="K220" s="94"/>
    </row>
    <row r="221" spans="2:11" x14ac:dyDescent="0.25">
      <c r="B221" s="89" t="s">
        <v>80</v>
      </c>
      <c r="C221" s="89" t="s">
        <v>81</v>
      </c>
      <c r="D221" s="89" t="s">
        <v>35</v>
      </c>
      <c r="E221" s="89" t="s">
        <v>532</v>
      </c>
      <c r="F221" s="89" t="s">
        <v>555</v>
      </c>
      <c r="G221" s="93" t="s">
        <v>556</v>
      </c>
      <c r="H221" s="93" t="s">
        <v>106</v>
      </c>
      <c r="I221" s="89"/>
      <c r="J221" s="95">
        <v>0</v>
      </c>
      <c r="K221" s="94"/>
    </row>
    <row r="222" spans="2:11" x14ac:dyDescent="0.25">
      <c r="B222" s="89" t="s">
        <v>80</v>
      </c>
      <c r="C222" s="89" t="s">
        <v>81</v>
      </c>
      <c r="D222" s="89" t="s">
        <v>35</v>
      </c>
      <c r="E222" s="89" t="s">
        <v>532</v>
      </c>
      <c r="F222" s="89" t="s">
        <v>557</v>
      </c>
      <c r="G222" s="93" t="s">
        <v>558</v>
      </c>
      <c r="H222" s="93" t="s">
        <v>106</v>
      </c>
      <c r="I222" s="89"/>
      <c r="J222" s="95">
        <v>0</v>
      </c>
      <c r="K222" s="94"/>
    </row>
    <row r="223" spans="2:11" x14ac:dyDescent="0.25">
      <c r="B223" s="89" t="s">
        <v>80</v>
      </c>
      <c r="C223" s="89" t="s">
        <v>81</v>
      </c>
      <c r="D223" s="89" t="s">
        <v>35</v>
      </c>
      <c r="E223" s="89" t="s">
        <v>532</v>
      </c>
      <c r="F223" s="89" t="s">
        <v>559</v>
      </c>
      <c r="G223" s="93" t="s">
        <v>560</v>
      </c>
      <c r="H223" s="93" t="s">
        <v>106</v>
      </c>
      <c r="I223" s="89"/>
      <c r="J223" s="95">
        <v>0</v>
      </c>
      <c r="K223" s="94"/>
    </row>
    <row r="224" spans="2:11" x14ac:dyDescent="0.25">
      <c r="B224" s="89" t="s">
        <v>80</v>
      </c>
      <c r="C224" s="89" t="s">
        <v>81</v>
      </c>
      <c r="D224" s="89" t="s">
        <v>35</v>
      </c>
      <c r="E224" s="89" t="s">
        <v>532</v>
      </c>
      <c r="F224" s="89" t="s">
        <v>561</v>
      </c>
      <c r="G224" s="93" t="s">
        <v>562</v>
      </c>
      <c r="H224" s="93" t="s">
        <v>106</v>
      </c>
      <c r="I224" s="89"/>
      <c r="J224" s="95">
        <v>0</v>
      </c>
      <c r="K224" s="94"/>
    </row>
    <row r="225" spans="2:11" x14ac:dyDescent="0.25">
      <c r="B225" s="89" t="s">
        <v>80</v>
      </c>
      <c r="C225" s="89" t="s">
        <v>81</v>
      </c>
      <c r="D225" s="89" t="s">
        <v>35</v>
      </c>
      <c r="E225" s="89" t="s">
        <v>532</v>
      </c>
      <c r="F225" s="89" t="s">
        <v>563</v>
      </c>
      <c r="G225" s="93" t="s">
        <v>564</v>
      </c>
      <c r="H225" s="93" t="s">
        <v>106</v>
      </c>
      <c r="I225" s="89"/>
      <c r="J225" s="95">
        <v>0</v>
      </c>
      <c r="K225" s="94"/>
    </row>
    <row r="226" spans="2:11" x14ac:dyDescent="0.25">
      <c r="B226" s="89" t="s">
        <v>80</v>
      </c>
      <c r="C226" s="89" t="s">
        <v>81</v>
      </c>
      <c r="D226" s="89" t="s">
        <v>35</v>
      </c>
      <c r="E226" s="89" t="s">
        <v>565</v>
      </c>
      <c r="F226" s="89" t="s">
        <v>566</v>
      </c>
      <c r="G226" s="93" t="s">
        <v>567</v>
      </c>
      <c r="H226" s="93" t="s">
        <v>106</v>
      </c>
      <c r="I226" s="89"/>
      <c r="J226" s="95">
        <v>0</v>
      </c>
      <c r="K226" s="94"/>
    </row>
    <row r="227" spans="2:11" x14ac:dyDescent="0.25">
      <c r="B227" s="89" t="s">
        <v>80</v>
      </c>
      <c r="C227" s="89" t="s">
        <v>81</v>
      </c>
      <c r="D227" s="89" t="s">
        <v>35</v>
      </c>
      <c r="E227" s="89" t="s">
        <v>565</v>
      </c>
      <c r="F227" s="89" t="s">
        <v>568</v>
      </c>
      <c r="G227" s="93" t="s">
        <v>569</v>
      </c>
      <c r="H227" s="93" t="s">
        <v>106</v>
      </c>
      <c r="I227" s="89"/>
      <c r="J227" s="95">
        <v>0</v>
      </c>
      <c r="K227" s="94"/>
    </row>
    <row r="228" spans="2:11" x14ac:dyDescent="0.25">
      <c r="B228" s="89" t="s">
        <v>80</v>
      </c>
      <c r="C228" s="89" t="s">
        <v>81</v>
      </c>
      <c r="D228" s="89" t="s">
        <v>35</v>
      </c>
      <c r="E228" s="89" t="s">
        <v>565</v>
      </c>
      <c r="F228" s="89" t="s">
        <v>570</v>
      </c>
      <c r="G228" s="93" t="s">
        <v>571</v>
      </c>
      <c r="H228" s="93" t="s">
        <v>106</v>
      </c>
      <c r="I228" s="89"/>
      <c r="J228" s="95">
        <v>0</v>
      </c>
      <c r="K228" s="94"/>
    </row>
    <row r="229" spans="2:11" x14ac:dyDescent="0.25">
      <c r="B229" s="89" t="s">
        <v>80</v>
      </c>
      <c r="C229" s="89" t="s">
        <v>81</v>
      </c>
      <c r="D229" s="89" t="s">
        <v>35</v>
      </c>
      <c r="E229" s="89" t="s">
        <v>565</v>
      </c>
      <c r="F229" s="89" t="s">
        <v>572</v>
      </c>
      <c r="G229" s="93" t="s">
        <v>573</v>
      </c>
      <c r="H229" s="93" t="s">
        <v>106</v>
      </c>
      <c r="I229" s="89"/>
      <c r="J229" s="95">
        <v>0</v>
      </c>
      <c r="K229" s="94"/>
    </row>
    <row r="230" spans="2:11" x14ac:dyDescent="0.25">
      <c r="B230" s="89" t="s">
        <v>80</v>
      </c>
      <c r="C230" s="89" t="s">
        <v>81</v>
      </c>
      <c r="D230" s="89" t="s">
        <v>35</v>
      </c>
      <c r="E230" s="89" t="s">
        <v>565</v>
      </c>
      <c r="F230" s="89" t="s">
        <v>574</v>
      </c>
      <c r="G230" s="93" t="s">
        <v>575</v>
      </c>
      <c r="H230" s="93" t="s">
        <v>106</v>
      </c>
      <c r="I230" s="89"/>
      <c r="J230" s="95">
        <v>0</v>
      </c>
      <c r="K230" s="94"/>
    </row>
    <row r="231" spans="2:11" x14ac:dyDescent="0.25">
      <c r="B231" s="89" t="s">
        <v>80</v>
      </c>
      <c r="C231" s="89" t="s">
        <v>81</v>
      </c>
      <c r="D231" s="89" t="s">
        <v>35</v>
      </c>
      <c r="E231" s="89" t="s">
        <v>565</v>
      </c>
      <c r="F231" s="89" t="s">
        <v>576</v>
      </c>
      <c r="G231" s="93" t="s">
        <v>577</v>
      </c>
      <c r="H231" s="93" t="s">
        <v>106</v>
      </c>
      <c r="I231" s="89"/>
      <c r="J231" s="95">
        <v>0</v>
      </c>
      <c r="K231" s="94"/>
    </row>
    <row r="232" spans="2:11" x14ac:dyDescent="0.25">
      <c r="B232" s="89" t="s">
        <v>80</v>
      </c>
      <c r="C232" s="89" t="s">
        <v>81</v>
      </c>
      <c r="D232" s="89" t="s">
        <v>35</v>
      </c>
      <c r="E232" s="89" t="s">
        <v>565</v>
      </c>
      <c r="F232" s="89" t="s">
        <v>578</v>
      </c>
      <c r="G232" s="93" t="s">
        <v>579</v>
      </c>
      <c r="H232" s="93" t="s">
        <v>106</v>
      </c>
      <c r="I232" s="89"/>
      <c r="J232" s="95">
        <v>0</v>
      </c>
      <c r="K232" s="94"/>
    </row>
    <row r="233" spans="2:11" x14ac:dyDescent="0.25">
      <c r="B233" s="89" t="s">
        <v>80</v>
      </c>
      <c r="C233" s="89" t="s">
        <v>81</v>
      </c>
      <c r="D233" s="89" t="s">
        <v>35</v>
      </c>
      <c r="E233" s="89" t="s">
        <v>565</v>
      </c>
      <c r="F233" s="89" t="s">
        <v>580</v>
      </c>
      <c r="G233" s="93" t="s">
        <v>581</v>
      </c>
      <c r="H233" s="93" t="s">
        <v>106</v>
      </c>
      <c r="I233" s="89"/>
      <c r="J233" s="95">
        <v>0</v>
      </c>
      <c r="K233" s="94"/>
    </row>
    <row r="234" spans="2:11" x14ac:dyDescent="0.25">
      <c r="B234" s="89" t="s">
        <v>80</v>
      </c>
      <c r="C234" s="89" t="s">
        <v>81</v>
      </c>
      <c r="D234" s="89" t="s">
        <v>35</v>
      </c>
      <c r="E234" s="89" t="s">
        <v>565</v>
      </c>
      <c r="F234" s="89" t="s">
        <v>582</v>
      </c>
      <c r="G234" s="93" t="s">
        <v>583</v>
      </c>
      <c r="H234" s="93" t="s">
        <v>106</v>
      </c>
      <c r="I234" s="89"/>
      <c r="J234" s="95">
        <v>0</v>
      </c>
      <c r="K234" s="94"/>
    </row>
    <row r="235" spans="2:11" x14ac:dyDescent="0.25">
      <c r="B235" s="89" t="s">
        <v>80</v>
      </c>
      <c r="C235" s="89" t="s">
        <v>81</v>
      </c>
      <c r="D235" s="89" t="s">
        <v>35</v>
      </c>
      <c r="E235" s="89" t="s">
        <v>565</v>
      </c>
      <c r="F235" s="89" t="s">
        <v>584</v>
      </c>
      <c r="G235" s="93" t="s">
        <v>585</v>
      </c>
      <c r="H235" s="93" t="s">
        <v>106</v>
      </c>
      <c r="I235" s="89"/>
      <c r="J235" s="95">
        <v>0</v>
      </c>
      <c r="K235" s="94"/>
    </row>
    <row r="236" spans="2:11" x14ac:dyDescent="0.25">
      <c r="B236" s="89" t="s">
        <v>80</v>
      </c>
      <c r="C236" s="89" t="s">
        <v>81</v>
      </c>
      <c r="D236" s="89" t="s">
        <v>35</v>
      </c>
      <c r="E236" s="89" t="s">
        <v>565</v>
      </c>
      <c r="F236" s="89" t="s">
        <v>586</v>
      </c>
      <c r="G236" s="93" t="s">
        <v>587</v>
      </c>
      <c r="H236" s="93" t="s">
        <v>106</v>
      </c>
      <c r="I236" s="89"/>
      <c r="J236" s="95">
        <v>0</v>
      </c>
      <c r="K236" s="94"/>
    </row>
    <row r="237" spans="2:11" x14ac:dyDescent="0.25">
      <c r="B237" s="89" t="s">
        <v>80</v>
      </c>
      <c r="C237" s="89" t="s">
        <v>81</v>
      </c>
      <c r="D237" s="89" t="s">
        <v>35</v>
      </c>
      <c r="E237" s="89" t="s">
        <v>565</v>
      </c>
      <c r="F237" s="89" t="s">
        <v>588</v>
      </c>
      <c r="G237" s="93" t="s">
        <v>589</v>
      </c>
      <c r="H237" s="93" t="s">
        <v>106</v>
      </c>
      <c r="I237" s="89"/>
      <c r="J237" s="95">
        <v>0</v>
      </c>
      <c r="K237" s="94"/>
    </row>
    <row r="238" spans="2:11" x14ac:dyDescent="0.25">
      <c r="B238" s="89" t="s">
        <v>80</v>
      </c>
      <c r="C238" s="89" t="s">
        <v>81</v>
      </c>
      <c r="D238" s="89" t="s">
        <v>35</v>
      </c>
      <c r="E238" s="89" t="s">
        <v>565</v>
      </c>
      <c r="F238" s="89" t="s">
        <v>590</v>
      </c>
      <c r="G238" s="93" t="s">
        <v>591</v>
      </c>
      <c r="H238" s="93" t="s">
        <v>106</v>
      </c>
      <c r="I238" s="89"/>
      <c r="J238" s="95">
        <v>0</v>
      </c>
      <c r="K238" s="94"/>
    </row>
    <row r="239" spans="2:11" x14ac:dyDescent="0.25">
      <c r="B239" s="89" t="s">
        <v>80</v>
      </c>
      <c r="C239" s="89" t="s">
        <v>81</v>
      </c>
      <c r="D239" s="89" t="s">
        <v>35</v>
      </c>
      <c r="E239" s="89" t="s">
        <v>565</v>
      </c>
      <c r="F239" s="89" t="s">
        <v>592</v>
      </c>
      <c r="G239" s="93" t="s">
        <v>593</v>
      </c>
      <c r="H239" s="93" t="s">
        <v>106</v>
      </c>
      <c r="I239" s="89"/>
      <c r="J239" s="95">
        <v>0</v>
      </c>
      <c r="K239" s="94"/>
    </row>
    <row r="240" spans="2:11" x14ac:dyDescent="0.25">
      <c r="B240" s="89" t="s">
        <v>80</v>
      </c>
      <c r="C240" s="89" t="s">
        <v>81</v>
      </c>
      <c r="D240" s="89" t="s">
        <v>35</v>
      </c>
      <c r="E240" s="89" t="s">
        <v>565</v>
      </c>
      <c r="F240" s="89" t="s">
        <v>594</v>
      </c>
      <c r="G240" s="93" t="s">
        <v>595</v>
      </c>
      <c r="H240" s="93" t="s">
        <v>106</v>
      </c>
      <c r="I240" s="89"/>
      <c r="J240" s="95">
        <v>0</v>
      </c>
      <c r="K240" s="94"/>
    </row>
    <row r="241" spans="2:11" x14ac:dyDescent="0.25">
      <c r="B241" s="89" t="s">
        <v>80</v>
      </c>
      <c r="C241" s="89" t="s">
        <v>81</v>
      </c>
      <c r="D241" s="89" t="s">
        <v>35</v>
      </c>
      <c r="E241" s="89" t="s">
        <v>565</v>
      </c>
      <c r="F241" s="89" t="s">
        <v>596</v>
      </c>
      <c r="G241" s="93" t="s">
        <v>597</v>
      </c>
      <c r="H241" s="93" t="s">
        <v>106</v>
      </c>
      <c r="I241" s="89"/>
      <c r="J241" s="95">
        <v>0</v>
      </c>
      <c r="K241" s="94"/>
    </row>
    <row r="242" spans="2:11" x14ac:dyDescent="0.25">
      <c r="B242" s="89" t="s">
        <v>80</v>
      </c>
      <c r="C242" s="89" t="s">
        <v>81</v>
      </c>
      <c r="D242" s="89" t="s">
        <v>32</v>
      </c>
      <c r="E242" s="89" t="s">
        <v>598</v>
      </c>
      <c r="F242" s="89" t="s">
        <v>599</v>
      </c>
      <c r="G242" s="93" t="s">
        <v>600</v>
      </c>
      <c r="H242" s="93" t="s">
        <v>106</v>
      </c>
      <c r="I242" s="89"/>
      <c r="J242" s="95">
        <v>0</v>
      </c>
      <c r="K242" s="94"/>
    </row>
    <row r="243" spans="2:11" x14ac:dyDescent="0.25">
      <c r="B243" s="89" t="s">
        <v>80</v>
      </c>
      <c r="C243" s="89" t="s">
        <v>81</v>
      </c>
      <c r="D243" s="89" t="s">
        <v>32</v>
      </c>
      <c r="E243" s="89" t="s">
        <v>598</v>
      </c>
      <c r="F243" s="89" t="s">
        <v>601</v>
      </c>
      <c r="G243" s="93" t="s">
        <v>602</v>
      </c>
      <c r="H243" s="93" t="s">
        <v>603</v>
      </c>
      <c r="I243" s="89"/>
      <c r="J243" s="95">
        <v>0</v>
      </c>
      <c r="K243" s="94"/>
    </row>
    <row r="244" spans="2:11" x14ac:dyDescent="0.25">
      <c r="B244" s="89" t="s">
        <v>80</v>
      </c>
      <c r="C244" s="89" t="s">
        <v>81</v>
      </c>
      <c r="D244" s="89" t="s">
        <v>32</v>
      </c>
      <c r="E244" s="89" t="s">
        <v>598</v>
      </c>
      <c r="F244" s="89" t="s">
        <v>604</v>
      </c>
      <c r="G244" s="93" t="s">
        <v>605</v>
      </c>
      <c r="H244" s="93" t="s">
        <v>106</v>
      </c>
      <c r="I244" s="89"/>
      <c r="J244" s="95">
        <v>0</v>
      </c>
      <c r="K244" s="94"/>
    </row>
    <row r="245" spans="2:11" x14ac:dyDescent="0.25">
      <c r="B245" s="89" t="s">
        <v>80</v>
      </c>
      <c r="C245" s="89" t="s">
        <v>81</v>
      </c>
      <c r="D245" s="89" t="s">
        <v>32</v>
      </c>
      <c r="E245" s="89" t="s">
        <v>598</v>
      </c>
      <c r="F245" s="89" t="s">
        <v>606</v>
      </c>
      <c r="G245" s="93" t="s">
        <v>607</v>
      </c>
      <c r="H245" s="93" t="s">
        <v>106</v>
      </c>
      <c r="I245" s="89"/>
      <c r="J245" s="95">
        <v>0</v>
      </c>
      <c r="K245" s="94"/>
    </row>
    <row r="246" spans="2:11" x14ac:dyDescent="0.25">
      <c r="B246" s="89" t="s">
        <v>80</v>
      </c>
      <c r="C246" s="89" t="s">
        <v>81</v>
      </c>
      <c r="D246" s="89" t="s">
        <v>32</v>
      </c>
      <c r="E246" s="89" t="s">
        <v>598</v>
      </c>
      <c r="F246" s="89" t="s">
        <v>608</v>
      </c>
      <c r="G246" s="93" t="s">
        <v>609</v>
      </c>
      <c r="H246" s="93" t="s">
        <v>106</v>
      </c>
      <c r="I246" s="89"/>
      <c r="J246" s="95">
        <v>0</v>
      </c>
      <c r="K246" s="94"/>
    </row>
    <row r="247" spans="2:11" x14ac:dyDescent="0.25">
      <c r="B247" s="89" t="s">
        <v>80</v>
      </c>
      <c r="C247" s="89" t="s">
        <v>81</v>
      </c>
      <c r="D247" s="89" t="s">
        <v>32</v>
      </c>
      <c r="E247" s="89" t="s">
        <v>598</v>
      </c>
      <c r="F247" s="89" t="s">
        <v>610</v>
      </c>
      <c r="G247" s="93" t="s">
        <v>611</v>
      </c>
      <c r="H247" s="93" t="s">
        <v>106</v>
      </c>
      <c r="I247" s="89"/>
      <c r="J247" s="95">
        <v>0</v>
      </c>
      <c r="K247" s="94"/>
    </row>
    <row r="248" spans="2:11" x14ac:dyDescent="0.25">
      <c r="B248" s="89" t="s">
        <v>80</v>
      </c>
      <c r="C248" s="89" t="s">
        <v>81</v>
      </c>
      <c r="D248" s="89" t="s">
        <v>32</v>
      </c>
      <c r="E248" s="89" t="s">
        <v>598</v>
      </c>
      <c r="F248" s="89" t="s">
        <v>612</v>
      </c>
      <c r="G248" s="93" t="s">
        <v>613</v>
      </c>
      <c r="H248" s="93" t="s">
        <v>614</v>
      </c>
      <c r="I248" s="89"/>
      <c r="J248" s="95">
        <v>0</v>
      </c>
      <c r="K248" s="94"/>
    </row>
    <row r="249" spans="2:11" x14ac:dyDescent="0.25">
      <c r="B249" s="89" t="s">
        <v>80</v>
      </c>
      <c r="C249" s="89" t="s">
        <v>81</v>
      </c>
      <c r="D249" s="89" t="s">
        <v>32</v>
      </c>
      <c r="E249" s="89" t="s">
        <v>598</v>
      </c>
      <c r="F249" s="89" t="s">
        <v>615</v>
      </c>
      <c r="G249" s="93" t="s">
        <v>616</v>
      </c>
      <c r="H249" s="93" t="s">
        <v>106</v>
      </c>
      <c r="I249" s="89"/>
      <c r="J249" s="95">
        <v>0</v>
      </c>
      <c r="K249" s="94"/>
    </row>
    <row r="250" spans="2:11" x14ac:dyDescent="0.25">
      <c r="B250" s="89" t="s">
        <v>80</v>
      </c>
      <c r="C250" s="89" t="s">
        <v>81</v>
      </c>
      <c r="D250" s="89" t="s">
        <v>32</v>
      </c>
      <c r="E250" s="89" t="s">
        <v>598</v>
      </c>
      <c r="F250" s="89" t="s">
        <v>617</v>
      </c>
      <c r="G250" s="93" t="s">
        <v>618</v>
      </c>
      <c r="H250" s="93" t="s">
        <v>619</v>
      </c>
      <c r="I250" s="89"/>
      <c r="J250" s="95">
        <v>0</v>
      </c>
      <c r="K250" s="94"/>
    </row>
    <row r="251" spans="2:11" x14ac:dyDescent="0.25">
      <c r="B251" s="89" t="s">
        <v>80</v>
      </c>
      <c r="C251" s="89" t="s">
        <v>81</v>
      </c>
      <c r="D251" s="89" t="s">
        <v>32</v>
      </c>
      <c r="E251" s="89" t="s">
        <v>598</v>
      </c>
      <c r="F251" s="89" t="s">
        <v>620</v>
      </c>
      <c r="G251" s="93" t="s">
        <v>621</v>
      </c>
      <c r="H251" s="93" t="s">
        <v>622</v>
      </c>
      <c r="I251" s="89"/>
      <c r="J251" s="95">
        <v>0</v>
      </c>
      <c r="K251" s="94"/>
    </row>
    <row r="252" spans="2:11" x14ac:dyDescent="0.25">
      <c r="B252" s="89" t="s">
        <v>80</v>
      </c>
      <c r="C252" s="89" t="s">
        <v>81</v>
      </c>
      <c r="D252" s="89" t="s">
        <v>32</v>
      </c>
      <c r="E252" s="89" t="s">
        <v>598</v>
      </c>
      <c r="F252" s="89" t="s">
        <v>623</v>
      </c>
      <c r="G252" s="93" t="s">
        <v>624</v>
      </c>
      <c r="H252" s="93" t="s">
        <v>625</v>
      </c>
      <c r="I252" s="89"/>
      <c r="J252" s="95">
        <v>0</v>
      </c>
      <c r="K252" s="94"/>
    </row>
    <row r="253" spans="2:11" x14ac:dyDescent="0.25">
      <c r="B253" s="89" t="s">
        <v>80</v>
      </c>
      <c r="C253" s="89" t="s">
        <v>81</v>
      </c>
      <c r="D253" s="89" t="s">
        <v>32</v>
      </c>
      <c r="E253" s="89" t="s">
        <v>598</v>
      </c>
      <c r="F253" s="89" t="s">
        <v>626</v>
      </c>
      <c r="G253" s="93" t="s">
        <v>627</v>
      </c>
      <c r="H253" s="93" t="s">
        <v>628</v>
      </c>
      <c r="I253" s="89"/>
      <c r="J253" s="95">
        <v>0</v>
      </c>
      <c r="K253" s="94"/>
    </row>
    <row r="254" spans="2:11" x14ac:dyDescent="0.25">
      <c r="B254" s="89" t="s">
        <v>80</v>
      </c>
      <c r="C254" s="89" t="s">
        <v>81</v>
      </c>
      <c r="D254" s="89" t="s">
        <v>32</v>
      </c>
      <c r="E254" s="89" t="s">
        <v>598</v>
      </c>
      <c r="F254" s="89" t="s">
        <v>629</v>
      </c>
      <c r="G254" s="93" t="s">
        <v>630</v>
      </c>
      <c r="H254" s="93" t="s">
        <v>631</v>
      </c>
      <c r="I254" s="89"/>
      <c r="J254" s="95">
        <v>0</v>
      </c>
      <c r="K254" s="94"/>
    </row>
    <row r="255" spans="2:11" x14ac:dyDescent="0.25">
      <c r="B255" s="89" t="s">
        <v>80</v>
      </c>
      <c r="C255" s="89" t="s">
        <v>81</v>
      </c>
      <c r="D255" s="89" t="s">
        <v>32</v>
      </c>
      <c r="E255" s="89" t="s">
        <v>598</v>
      </c>
      <c r="F255" s="89" t="s">
        <v>632</v>
      </c>
      <c r="G255" s="93" t="s">
        <v>633</v>
      </c>
      <c r="H255" s="93" t="s">
        <v>634</v>
      </c>
      <c r="I255" s="89"/>
      <c r="J255" s="95">
        <v>0</v>
      </c>
      <c r="K255" s="94"/>
    </row>
    <row r="256" spans="2:11" x14ac:dyDescent="0.25">
      <c r="B256" s="89" t="s">
        <v>80</v>
      </c>
      <c r="C256" s="89" t="s">
        <v>81</v>
      </c>
      <c r="D256" s="89" t="s">
        <v>32</v>
      </c>
      <c r="E256" s="89" t="s">
        <v>598</v>
      </c>
      <c r="F256" s="89" t="s">
        <v>635</v>
      </c>
      <c r="G256" s="93" t="s">
        <v>636</v>
      </c>
      <c r="H256" s="93" t="s">
        <v>106</v>
      </c>
      <c r="I256" s="89"/>
      <c r="J256" s="95">
        <v>0</v>
      </c>
      <c r="K256" s="94"/>
    </row>
    <row r="257" spans="2:11" x14ac:dyDescent="0.25">
      <c r="B257" s="89" t="s">
        <v>80</v>
      </c>
      <c r="C257" s="89" t="s">
        <v>81</v>
      </c>
      <c r="D257" s="89" t="s">
        <v>32</v>
      </c>
      <c r="E257" s="89" t="s">
        <v>598</v>
      </c>
      <c r="F257" s="89" t="s">
        <v>637</v>
      </c>
      <c r="G257" s="93" t="s">
        <v>638</v>
      </c>
      <c r="H257" s="93" t="s">
        <v>106</v>
      </c>
      <c r="I257" s="89"/>
      <c r="J257" s="95">
        <v>0</v>
      </c>
      <c r="K257" s="94"/>
    </row>
    <row r="258" spans="2:11" x14ac:dyDescent="0.25">
      <c r="B258" s="89" t="s">
        <v>80</v>
      </c>
      <c r="C258" s="89" t="s">
        <v>81</v>
      </c>
      <c r="D258" s="89" t="s">
        <v>32</v>
      </c>
      <c r="E258" s="89" t="s">
        <v>598</v>
      </c>
      <c r="F258" s="89" t="s">
        <v>639</v>
      </c>
      <c r="G258" s="93" t="s">
        <v>640</v>
      </c>
      <c r="H258" s="93" t="s">
        <v>106</v>
      </c>
      <c r="I258" s="89"/>
      <c r="J258" s="95">
        <v>0</v>
      </c>
      <c r="K258" s="94"/>
    </row>
    <row r="259" spans="2:11" x14ac:dyDescent="0.25">
      <c r="B259" s="89" t="s">
        <v>80</v>
      </c>
      <c r="C259" s="89" t="s">
        <v>81</v>
      </c>
      <c r="D259" s="89" t="s">
        <v>32</v>
      </c>
      <c r="E259" s="89" t="s">
        <v>598</v>
      </c>
      <c r="F259" s="89" t="s">
        <v>641</v>
      </c>
      <c r="G259" s="93" t="s">
        <v>642</v>
      </c>
      <c r="H259" s="93" t="s">
        <v>106</v>
      </c>
      <c r="I259" s="89"/>
      <c r="J259" s="95">
        <v>0</v>
      </c>
      <c r="K259" s="94"/>
    </row>
    <row r="260" spans="2:11" x14ac:dyDescent="0.25">
      <c r="B260" s="89" t="s">
        <v>80</v>
      </c>
      <c r="C260" s="89" t="s">
        <v>81</v>
      </c>
      <c r="D260" s="89" t="s">
        <v>32</v>
      </c>
      <c r="E260" s="89" t="s">
        <v>598</v>
      </c>
      <c r="F260" s="89" t="s">
        <v>643</v>
      </c>
      <c r="G260" s="93" t="s">
        <v>644</v>
      </c>
      <c r="H260" s="93" t="s">
        <v>106</v>
      </c>
      <c r="I260" s="89"/>
      <c r="J260" s="95">
        <v>0</v>
      </c>
      <c r="K260" s="94"/>
    </row>
    <row r="261" spans="2:11" x14ac:dyDescent="0.25">
      <c r="B261" s="89" t="s">
        <v>80</v>
      </c>
      <c r="C261" s="89" t="s">
        <v>81</v>
      </c>
      <c r="D261" s="89" t="s">
        <v>32</v>
      </c>
      <c r="E261" s="89" t="s">
        <v>598</v>
      </c>
      <c r="F261" s="89" t="s">
        <v>645</v>
      </c>
      <c r="G261" s="93" t="s">
        <v>646</v>
      </c>
      <c r="H261" s="93" t="s">
        <v>106</v>
      </c>
      <c r="I261" s="89"/>
      <c r="J261" s="95">
        <v>0</v>
      </c>
      <c r="K261" s="94"/>
    </row>
    <row r="262" spans="2:11" x14ac:dyDescent="0.25">
      <c r="B262" s="89" t="s">
        <v>80</v>
      </c>
      <c r="C262" s="89" t="s">
        <v>81</v>
      </c>
      <c r="D262" s="89" t="s">
        <v>32</v>
      </c>
      <c r="E262" s="89" t="s">
        <v>598</v>
      </c>
      <c r="F262" s="89" t="s">
        <v>647</v>
      </c>
      <c r="G262" s="93" t="s">
        <v>648</v>
      </c>
      <c r="H262" s="93" t="s">
        <v>619</v>
      </c>
      <c r="I262" s="89"/>
      <c r="J262" s="95">
        <v>0</v>
      </c>
      <c r="K262" s="94"/>
    </row>
    <row r="263" spans="2:11" x14ac:dyDescent="0.25">
      <c r="B263" s="89" t="s">
        <v>80</v>
      </c>
      <c r="C263" s="89" t="s">
        <v>81</v>
      </c>
      <c r="D263" s="89" t="s">
        <v>32</v>
      </c>
      <c r="E263" s="89" t="s">
        <v>598</v>
      </c>
      <c r="F263" s="89" t="s">
        <v>649</v>
      </c>
      <c r="G263" s="93" t="s">
        <v>650</v>
      </c>
      <c r="H263" s="93" t="s">
        <v>622</v>
      </c>
      <c r="I263" s="89"/>
      <c r="J263" s="95">
        <v>0</v>
      </c>
      <c r="K263" s="94"/>
    </row>
    <row r="264" spans="2:11" x14ac:dyDescent="0.25">
      <c r="B264" s="89" t="s">
        <v>80</v>
      </c>
      <c r="C264" s="89" t="s">
        <v>81</v>
      </c>
      <c r="D264" s="89" t="s">
        <v>32</v>
      </c>
      <c r="E264" s="89" t="s">
        <v>598</v>
      </c>
      <c r="F264" s="89" t="s">
        <v>651</v>
      </c>
      <c r="G264" s="93" t="s">
        <v>652</v>
      </c>
      <c r="H264" s="93" t="s">
        <v>625</v>
      </c>
      <c r="I264" s="89"/>
      <c r="J264" s="95">
        <v>0</v>
      </c>
      <c r="K264" s="94"/>
    </row>
    <row r="265" spans="2:11" x14ac:dyDescent="0.25">
      <c r="B265" s="89" t="s">
        <v>80</v>
      </c>
      <c r="C265" s="89" t="s">
        <v>81</v>
      </c>
      <c r="D265" s="89" t="s">
        <v>32</v>
      </c>
      <c r="E265" s="89" t="s">
        <v>598</v>
      </c>
      <c r="F265" s="89" t="s">
        <v>653</v>
      </c>
      <c r="G265" s="93" t="s">
        <v>654</v>
      </c>
      <c r="H265" s="93" t="s">
        <v>628</v>
      </c>
      <c r="I265" s="89"/>
      <c r="J265" s="95">
        <v>0</v>
      </c>
      <c r="K265" s="94"/>
    </row>
    <row r="266" spans="2:11" x14ac:dyDescent="0.25">
      <c r="B266" s="89" t="s">
        <v>80</v>
      </c>
      <c r="C266" s="89" t="s">
        <v>81</v>
      </c>
      <c r="D266" s="89" t="s">
        <v>32</v>
      </c>
      <c r="E266" s="89" t="s">
        <v>598</v>
      </c>
      <c r="F266" s="89" t="s">
        <v>655</v>
      </c>
      <c r="G266" s="93" t="s">
        <v>656</v>
      </c>
      <c r="H266" s="93" t="s">
        <v>631</v>
      </c>
      <c r="I266" s="89"/>
      <c r="J266" s="95">
        <v>0</v>
      </c>
      <c r="K266" s="94"/>
    </row>
    <row r="267" spans="2:11" x14ac:dyDescent="0.25">
      <c r="B267" s="89" t="s">
        <v>80</v>
      </c>
      <c r="C267" s="89" t="s">
        <v>81</v>
      </c>
      <c r="D267" s="89" t="s">
        <v>32</v>
      </c>
      <c r="E267" s="89" t="s">
        <v>598</v>
      </c>
      <c r="F267" s="89" t="s">
        <v>657</v>
      </c>
      <c r="G267" s="93" t="s">
        <v>658</v>
      </c>
      <c r="H267" s="93" t="s">
        <v>634</v>
      </c>
      <c r="I267" s="89"/>
      <c r="J267" s="95">
        <v>0</v>
      </c>
      <c r="K267" s="94"/>
    </row>
    <row r="268" spans="2:11" x14ac:dyDescent="0.25">
      <c r="B268" s="89" t="s">
        <v>80</v>
      </c>
      <c r="C268" s="89" t="s">
        <v>81</v>
      </c>
      <c r="D268" s="89" t="s">
        <v>32</v>
      </c>
      <c r="E268" s="89" t="s">
        <v>598</v>
      </c>
      <c r="F268" s="89" t="s">
        <v>659</v>
      </c>
      <c r="G268" s="93" t="s">
        <v>660</v>
      </c>
      <c r="H268" s="93" t="s">
        <v>106</v>
      </c>
      <c r="I268" s="89"/>
      <c r="J268" s="95">
        <v>0</v>
      </c>
      <c r="K268" s="94"/>
    </row>
    <row r="269" spans="2:11" x14ac:dyDescent="0.25">
      <c r="B269" s="89" t="s">
        <v>80</v>
      </c>
      <c r="C269" s="89" t="s">
        <v>81</v>
      </c>
      <c r="D269" s="89" t="s">
        <v>32</v>
      </c>
      <c r="E269" s="89" t="s">
        <v>598</v>
      </c>
      <c r="F269" s="89" t="s">
        <v>661</v>
      </c>
      <c r="G269" s="93" t="s">
        <v>662</v>
      </c>
      <c r="H269" s="93" t="s">
        <v>106</v>
      </c>
      <c r="I269" s="89"/>
      <c r="J269" s="95">
        <v>0</v>
      </c>
      <c r="K269" s="94"/>
    </row>
    <row r="270" spans="2:11" x14ac:dyDescent="0.25">
      <c r="B270" s="89" t="s">
        <v>80</v>
      </c>
      <c r="C270" s="89" t="s">
        <v>81</v>
      </c>
      <c r="D270" s="89" t="s">
        <v>32</v>
      </c>
      <c r="E270" s="89" t="s">
        <v>598</v>
      </c>
      <c r="F270" s="89" t="s">
        <v>663</v>
      </c>
      <c r="G270" s="93" t="s">
        <v>664</v>
      </c>
      <c r="H270" s="93" t="s">
        <v>665</v>
      </c>
      <c r="I270" s="89"/>
      <c r="J270" s="95">
        <v>0</v>
      </c>
      <c r="K270" s="94"/>
    </row>
    <row r="271" spans="2:11" x14ac:dyDescent="0.25">
      <c r="B271" s="89" t="s">
        <v>80</v>
      </c>
      <c r="C271" s="89" t="s">
        <v>81</v>
      </c>
      <c r="D271" s="89" t="s">
        <v>32</v>
      </c>
      <c r="E271" s="89" t="s">
        <v>598</v>
      </c>
      <c r="F271" s="89" t="s">
        <v>666</v>
      </c>
      <c r="G271" s="93" t="s">
        <v>667</v>
      </c>
      <c r="H271" s="93" t="s">
        <v>106</v>
      </c>
      <c r="I271" s="89"/>
      <c r="J271" s="95">
        <v>0</v>
      </c>
      <c r="K271" s="94"/>
    </row>
    <row r="272" spans="2:11" x14ac:dyDescent="0.25">
      <c r="B272" s="89" t="s">
        <v>80</v>
      </c>
      <c r="C272" s="89" t="s">
        <v>81</v>
      </c>
      <c r="D272" s="89" t="s">
        <v>32</v>
      </c>
      <c r="E272" s="89" t="s">
        <v>598</v>
      </c>
      <c r="F272" s="89" t="s">
        <v>668</v>
      </c>
      <c r="G272" s="93" t="s">
        <v>669</v>
      </c>
      <c r="H272" s="93" t="s">
        <v>106</v>
      </c>
      <c r="I272" s="89"/>
      <c r="J272" s="95">
        <v>0</v>
      </c>
      <c r="K272" s="94"/>
    </row>
    <row r="273" spans="2:11" x14ac:dyDescent="0.25">
      <c r="B273" s="89" t="s">
        <v>80</v>
      </c>
      <c r="C273" s="89" t="s">
        <v>81</v>
      </c>
      <c r="D273" s="89" t="s">
        <v>32</v>
      </c>
      <c r="E273" s="89" t="s">
        <v>598</v>
      </c>
      <c r="F273" s="89" t="s">
        <v>670</v>
      </c>
      <c r="G273" s="93" t="s">
        <v>671</v>
      </c>
      <c r="H273" s="93" t="s">
        <v>672</v>
      </c>
      <c r="I273" s="89"/>
      <c r="J273" s="95">
        <v>0</v>
      </c>
      <c r="K273" s="94"/>
    </row>
    <row r="274" spans="2:11" x14ac:dyDescent="0.25">
      <c r="B274" s="89" t="s">
        <v>80</v>
      </c>
      <c r="C274" s="89" t="s">
        <v>81</v>
      </c>
      <c r="D274" s="89" t="s">
        <v>32</v>
      </c>
      <c r="E274" s="89" t="s">
        <v>598</v>
      </c>
      <c r="F274" s="89" t="s">
        <v>673</v>
      </c>
      <c r="G274" s="93" t="s">
        <v>674</v>
      </c>
      <c r="H274" s="93" t="s">
        <v>106</v>
      </c>
      <c r="I274" s="89"/>
      <c r="J274" s="95">
        <v>0</v>
      </c>
      <c r="K274" s="94"/>
    </row>
    <row r="275" spans="2:11" x14ac:dyDescent="0.25">
      <c r="B275" s="89" t="s">
        <v>80</v>
      </c>
      <c r="C275" s="89" t="s">
        <v>81</v>
      </c>
      <c r="D275" s="89" t="s">
        <v>32</v>
      </c>
      <c r="E275" s="89" t="s">
        <v>598</v>
      </c>
      <c r="F275" s="89" t="s">
        <v>675</v>
      </c>
      <c r="G275" s="93" t="s">
        <v>676</v>
      </c>
      <c r="H275" s="93" t="s">
        <v>677</v>
      </c>
      <c r="I275" s="89"/>
      <c r="J275" s="95">
        <v>0</v>
      </c>
      <c r="K275" s="94"/>
    </row>
    <row r="276" spans="2:11" x14ac:dyDescent="0.25">
      <c r="B276" s="89" t="s">
        <v>80</v>
      </c>
      <c r="C276" s="89" t="s">
        <v>81</v>
      </c>
      <c r="D276" s="89" t="s">
        <v>32</v>
      </c>
      <c r="E276" s="89" t="s">
        <v>598</v>
      </c>
      <c r="F276" s="89" t="s">
        <v>678</v>
      </c>
      <c r="G276" s="93" t="s">
        <v>679</v>
      </c>
      <c r="H276" s="93" t="s">
        <v>680</v>
      </c>
      <c r="I276" s="89"/>
      <c r="J276" s="95">
        <v>0</v>
      </c>
      <c r="K276" s="94"/>
    </row>
    <row r="277" spans="2:11" x14ac:dyDescent="0.25">
      <c r="B277" s="89" t="s">
        <v>80</v>
      </c>
      <c r="C277" s="89" t="s">
        <v>81</v>
      </c>
      <c r="D277" s="89" t="s">
        <v>32</v>
      </c>
      <c r="E277" s="89" t="s">
        <v>598</v>
      </c>
      <c r="F277" s="89" t="s">
        <v>681</v>
      </c>
      <c r="G277" s="93" t="s">
        <v>682</v>
      </c>
      <c r="H277" s="93" t="s">
        <v>683</v>
      </c>
      <c r="I277" s="89"/>
      <c r="J277" s="95">
        <v>0</v>
      </c>
      <c r="K277" s="94"/>
    </row>
    <row r="278" spans="2:11" x14ac:dyDescent="0.25">
      <c r="B278" s="89" t="s">
        <v>80</v>
      </c>
      <c r="C278" s="89" t="s">
        <v>81</v>
      </c>
      <c r="D278" s="89" t="s">
        <v>32</v>
      </c>
      <c r="E278" s="89" t="s">
        <v>598</v>
      </c>
      <c r="F278" s="89" t="s">
        <v>684</v>
      </c>
      <c r="G278" s="93" t="s">
        <v>685</v>
      </c>
      <c r="H278" s="93" t="s">
        <v>686</v>
      </c>
      <c r="I278" s="89"/>
      <c r="J278" s="95">
        <v>0</v>
      </c>
      <c r="K278" s="94"/>
    </row>
    <row r="279" spans="2:11" x14ac:dyDescent="0.25">
      <c r="B279" s="89" t="s">
        <v>80</v>
      </c>
      <c r="C279" s="89" t="s">
        <v>81</v>
      </c>
      <c r="D279" s="89" t="s">
        <v>32</v>
      </c>
      <c r="E279" s="89" t="s">
        <v>598</v>
      </c>
      <c r="F279" s="89" t="s">
        <v>687</v>
      </c>
      <c r="G279" s="93" t="s">
        <v>688</v>
      </c>
      <c r="H279" s="93" t="s">
        <v>106</v>
      </c>
      <c r="I279" s="89"/>
      <c r="J279" s="95">
        <v>0</v>
      </c>
      <c r="K279" s="94"/>
    </row>
    <row r="280" spans="2:11" x14ac:dyDescent="0.25">
      <c r="B280" s="89" t="s">
        <v>80</v>
      </c>
      <c r="C280" s="89" t="s">
        <v>81</v>
      </c>
      <c r="D280" s="89" t="s">
        <v>32</v>
      </c>
      <c r="E280" s="89" t="s">
        <v>598</v>
      </c>
      <c r="F280" s="89" t="s">
        <v>689</v>
      </c>
      <c r="G280" s="93" t="s">
        <v>690</v>
      </c>
      <c r="H280" s="93" t="s">
        <v>106</v>
      </c>
      <c r="I280" s="89"/>
      <c r="J280" s="95">
        <v>0</v>
      </c>
      <c r="K280" s="94"/>
    </row>
    <row r="281" spans="2:11" x14ac:dyDescent="0.25">
      <c r="B281" s="89" t="s">
        <v>80</v>
      </c>
      <c r="C281" s="89" t="s">
        <v>81</v>
      </c>
      <c r="D281" s="89" t="s">
        <v>32</v>
      </c>
      <c r="E281" s="89" t="s">
        <v>598</v>
      </c>
      <c r="F281" s="89" t="s">
        <v>691</v>
      </c>
      <c r="G281" s="93" t="s">
        <v>692</v>
      </c>
      <c r="H281" s="93" t="s">
        <v>106</v>
      </c>
      <c r="I281" s="89"/>
      <c r="J281" s="95">
        <v>0</v>
      </c>
      <c r="K281" s="94"/>
    </row>
    <row r="282" spans="2:11" x14ac:dyDescent="0.25">
      <c r="B282" s="89" t="s">
        <v>80</v>
      </c>
      <c r="C282" s="89" t="s">
        <v>81</v>
      </c>
      <c r="D282" s="89" t="s">
        <v>32</v>
      </c>
      <c r="E282" s="89" t="s">
        <v>598</v>
      </c>
      <c r="F282" s="89" t="s">
        <v>693</v>
      </c>
      <c r="G282" s="93" t="s">
        <v>694</v>
      </c>
      <c r="H282" s="93" t="s">
        <v>106</v>
      </c>
      <c r="I282" s="89"/>
      <c r="J282" s="95">
        <v>0</v>
      </c>
      <c r="K282" s="94"/>
    </row>
    <row r="283" spans="2:11" x14ac:dyDescent="0.25">
      <c r="B283" s="89" t="s">
        <v>80</v>
      </c>
      <c r="C283" s="89" t="s">
        <v>81</v>
      </c>
      <c r="D283" s="89" t="s">
        <v>32</v>
      </c>
      <c r="E283" s="89" t="s">
        <v>598</v>
      </c>
      <c r="F283" s="89" t="s">
        <v>695</v>
      </c>
      <c r="G283" s="93" t="s">
        <v>696</v>
      </c>
      <c r="H283" s="93" t="s">
        <v>106</v>
      </c>
      <c r="I283" s="89"/>
      <c r="J283" s="95">
        <v>0</v>
      </c>
      <c r="K283" s="94"/>
    </row>
    <row r="284" spans="2:11" x14ac:dyDescent="0.25">
      <c r="B284" s="89" t="s">
        <v>80</v>
      </c>
      <c r="C284" s="89" t="s">
        <v>81</v>
      </c>
      <c r="D284" s="89" t="s">
        <v>32</v>
      </c>
      <c r="E284" s="89" t="s">
        <v>598</v>
      </c>
      <c r="F284" s="89" t="s">
        <v>697</v>
      </c>
      <c r="G284" s="93" t="s">
        <v>698</v>
      </c>
      <c r="H284" s="93" t="s">
        <v>106</v>
      </c>
      <c r="I284" s="89"/>
      <c r="J284" s="95">
        <v>0</v>
      </c>
      <c r="K284" s="94"/>
    </row>
    <row r="285" spans="2:11" x14ac:dyDescent="0.25">
      <c r="B285" s="89" t="s">
        <v>80</v>
      </c>
      <c r="C285" s="89" t="s">
        <v>81</v>
      </c>
      <c r="D285" s="89" t="s">
        <v>32</v>
      </c>
      <c r="E285" s="89" t="s">
        <v>598</v>
      </c>
      <c r="F285" s="89" t="s">
        <v>699</v>
      </c>
      <c r="G285" s="93" t="s">
        <v>700</v>
      </c>
      <c r="H285" s="93" t="s">
        <v>106</v>
      </c>
      <c r="I285" s="89"/>
      <c r="J285" s="95">
        <v>0</v>
      </c>
      <c r="K285" s="94"/>
    </row>
    <row r="286" spans="2:11" x14ac:dyDescent="0.25">
      <c r="B286" s="89" t="s">
        <v>80</v>
      </c>
      <c r="C286" s="89" t="s">
        <v>81</v>
      </c>
      <c r="D286" s="89" t="s">
        <v>32</v>
      </c>
      <c r="E286" s="89" t="s">
        <v>598</v>
      </c>
      <c r="F286" s="89" t="s">
        <v>701</v>
      </c>
      <c r="G286" s="93" t="s">
        <v>702</v>
      </c>
      <c r="H286" s="93" t="s">
        <v>106</v>
      </c>
      <c r="I286" s="89"/>
      <c r="J286" s="95">
        <v>0</v>
      </c>
      <c r="K286" s="94"/>
    </row>
    <row r="287" spans="2:11" x14ac:dyDescent="0.25">
      <c r="B287" s="89" t="s">
        <v>80</v>
      </c>
      <c r="C287" s="89" t="s">
        <v>81</v>
      </c>
      <c r="D287" s="89" t="s">
        <v>32</v>
      </c>
      <c r="E287" s="89" t="s">
        <v>598</v>
      </c>
      <c r="F287" s="89" t="s">
        <v>703</v>
      </c>
      <c r="G287" s="93" t="s">
        <v>704</v>
      </c>
      <c r="H287" s="93" t="s">
        <v>106</v>
      </c>
      <c r="I287" s="89"/>
      <c r="J287" s="95">
        <v>0</v>
      </c>
      <c r="K287" s="94"/>
    </row>
    <row r="288" spans="2:11" x14ac:dyDescent="0.25">
      <c r="B288" s="89" t="s">
        <v>80</v>
      </c>
      <c r="C288" s="89" t="s">
        <v>81</v>
      </c>
      <c r="D288" s="89" t="s">
        <v>32</v>
      </c>
      <c r="E288" s="89" t="s">
        <v>598</v>
      </c>
      <c r="F288" s="89" t="s">
        <v>705</v>
      </c>
      <c r="G288" s="93" t="s">
        <v>706</v>
      </c>
      <c r="H288" s="93" t="s">
        <v>106</v>
      </c>
      <c r="I288" s="89"/>
      <c r="J288" s="95">
        <v>0</v>
      </c>
      <c r="K288" s="94"/>
    </row>
    <row r="289" spans="2:11" x14ac:dyDescent="0.25">
      <c r="B289" s="89" t="s">
        <v>80</v>
      </c>
      <c r="C289" s="89" t="s">
        <v>81</v>
      </c>
      <c r="D289" s="89" t="s">
        <v>32</v>
      </c>
      <c r="E289" s="89" t="s">
        <v>598</v>
      </c>
      <c r="F289" s="89" t="s">
        <v>707</v>
      </c>
      <c r="G289" s="93" t="s">
        <v>708</v>
      </c>
      <c r="H289" s="93" t="s">
        <v>106</v>
      </c>
      <c r="I289" s="89"/>
      <c r="J289" s="95">
        <v>0</v>
      </c>
      <c r="K289" s="94"/>
    </row>
    <row r="290" spans="2:11" x14ac:dyDescent="0.25">
      <c r="B290" s="89" t="s">
        <v>80</v>
      </c>
      <c r="C290" s="89" t="s">
        <v>81</v>
      </c>
      <c r="D290" s="89" t="s">
        <v>32</v>
      </c>
      <c r="E290" s="89" t="s">
        <v>598</v>
      </c>
      <c r="F290" s="89" t="s">
        <v>709</v>
      </c>
      <c r="G290" s="93" t="s">
        <v>710</v>
      </c>
      <c r="H290" s="93" t="s">
        <v>106</v>
      </c>
      <c r="I290" s="89"/>
      <c r="J290" s="95">
        <v>0</v>
      </c>
      <c r="K290" s="94"/>
    </row>
    <row r="291" spans="2:11" x14ac:dyDescent="0.25">
      <c r="B291" s="89" t="s">
        <v>80</v>
      </c>
      <c r="C291" s="89" t="s">
        <v>81</v>
      </c>
      <c r="D291" s="89" t="s">
        <v>32</v>
      </c>
      <c r="E291" s="89" t="s">
        <v>598</v>
      </c>
      <c r="F291" s="89" t="s">
        <v>711</v>
      </c>
      <c r="G291" s="93" t="s">
        <v>712</v>
      </c>
      <c r="H291" s="93" t="s">
        <v>106</v>
      </c>
      <c r="I291" s="89"/>
      <c r="J291" s="95">
        <v>0</v>
      </c>
      <c r="K291" s="94"/>
    </row>
    <row r="292" spans="2:11" x14ac:dyDescent="0.25">
      <c r="B292" s="89" t="s">
        <v>80</v>
      </c>
      <c r="C292" s="89" t="s">
        <v>81</v>
      </c>
      <c r="D292" s="89" t="s">
        <v>32</v>
      </c>
      <c r="E292" s="89" t="s">
        <v>598</v>
      </c>
      <c r="F292" s="89" t="s">
        <v>713</v>
      </c>
      <c r="G292" s="93" t="s">
        <v>714</v>
      </c>
      <c r="H292" s="93" t="s">
        <v>106</v>
      </c>
      <c r="I292" s="89"/>
      <c r="J292" s="95">
        <v>0</v>
      </c>
      <c r="K292" s="94"/>
    </row>
    <row r="293" spans="2:11" x14ac:dyDescent="0.25">
      <c r="B293" s="89" t="s">
        <v>80</v>
      </c>
      <c r="C293" s="89" t="s">
        <v>81</v>
      </c>
      <c r="D293" s="89" t="s">
        <v>32</v>
      </c>
      <c r="E293" s="89" t="s">
        <v>598</v>
      </c>
      <c r="F293" s="89" t="s">
        <v>715</v>
      </c>
      <c r="G293" s="93" t="s">
        <v>716</v>
      </c>
      <c r="H293" s="93" t="s">
        <v>106</v>
      </c>
      <c r="I293" s="89"/>
      <c r="J293" s="95">
        <v>0</v>
      </c>
      <c r="K293" s="94"/>
    </row>
    <row r="294" spans="2:11" x14ac:dyDescent="0.25">
      <c r="B294" s="89" t="s">
        <v>80</v>
      </c>
      <c r="C294" s="89" t="s">
        <v>81</v>
      </c>
      <c r="D294" s="89" t="s">
        <v>32</v>
      </c>
      <c r="E294" s="89" t="s">
        <v>598</v>
      </c>
      <c r="F294" s="89" t="s">
        <v>717</v>
      </c>
      <c r="G294" s="93" t="s">
        <v>718</v>
      </c>
      <c r="H294" s="93" t="s">
        <v>672</v>
      </c>
      <c r="I294" s="89"/>
      <c r="J294" s="95">
        <v>0</v>
      </c>
      <c r="K294" s="94"/>
    </row>
    <row r="295" spans="2:11" x14ac:dyDescent="0.25">
      <c r="B295" s="89" t="s">
        <v>80</v>
      </c>
      <c r="C295" s="89" t="s">
        <v>81</v>
      </c>
      <c r="D295" s="89" t="s">
        <v>32</v>
      </c>
      <c r="E295" s="89" t="s">
        <v>598</v>
      </c>
      <c r="F295" s="89" t="s">
        <v>719</v>
      </c>
      <c r="G295" s="93" t="s">
        <v>720</v>
      </c>
      <c r="H295" s="93" t="s">
        <v>683</v>
      </c>
      <c r="I295" s="89"/>
      <c r="J295" s="95">
        <v>0</v>
      </c>
      <c r="K295" s="94"/>
    </row>
    <row r="296" spans="2:11" x14ac:dyDescent="0.25">
      <c r="B296" s="89" t="s">
        <v>80</v>
      </c>
      <c r="C296" s="89" t="s">
        <v>81</v>
      </c>
      <c r="D296" s="89" t="s">
        <v>32</v>
      </c>
      <c r="E296" s="89" t="s">
        <v>598</v>
      </c>
      <c r="F296" s="89" t="s">
        <v>721</v>
      </c>
      <c r="G296" s="93" t="s">
        <v>722</v>
      </c>
      <c r="H296" s="93" t="s">
        <v>106</v>
      </c>
      <c r="I296" s="89"/>
      <c r="J296" s="95">
        <v>0</v>
      </c>
      <c r="K296" s="94"/>
    </row>
    <row r="297" spans="2:11" x14ac:dyDescent="0.25">
      <c r="B297" s="89" t="s">
        <v>80</v>
      </c>
      <c r="C297" s="89" t="s">
        <v>81</v>
      </c>
      <c r="D297" s="89" t="s">
        <v>32</v>
      </c>
      <c r="E297" s="89" t="s">
        <v>598</v>
      </c>
      <c r="F297" s="89" t="s">
        <v>723</v>
      </c>
      <c r="G297" s="93" t="s">
        <v>724</v>
      </c>
      <c r="H297" s="93" t="s">
        <v>677</v>
      </c>
      <c r="I297" s="89"/>
      <c r="J297" s="95">
        <v>0</v>
      </c>
      <c r="K297" s="94"/>
    </row>
    <row r="298" spans="2:11" x14ac:dyDescent="0.25">
      <c r="B298" s="89" t="s">
        <v>80</v>
      </c>
      <c r="C298" s="89" t="s">
        <v>81</v>
      </c>
      <c r="D298" s="89" t="s">
        <v>32</v>
      </c>
      <c r="E298" s="89" t="s">
        <v>598</v>
      </c>
      <c r="F298" s="89" t="s">
        <v>725</v>
      </c>
      <c r="G298" s="93" t="s">
        <v>726</v>
      </c>
      <c r="H298" s="93" t="s">
        <v>680</v>
      </c>
      <c r="I298" s="89"/>
      <c r="J298" s="95">
        <v>0</v>
      </c>
      <c r="K298" s="94"/>
    </row>
    <row r="299" spans="2:11" x14ac:dyDescent="0.25">
      <c r="B299" s="89" t="s">
        <v>80</v>
      </c>
      <c r="C299" s="89" t="s">
        <v>81</v>
      </c>
      <c r="D299" s="89" t="s">
        <v>32</v>
      </c>
      <c r="E299" s="89" t="s">
        <v>598</v>
      </c>
      <c r="F299" s="89" t="s">
        <v>727</v>
      </c>
      <c r="G299" s="93" t="s">
        <v>728</v>
      </c>
      <c r="H299" s="93" t="s">
        <v>686</v>
      </c>
      <c r="I299" s="89"/>
      <c r="J299" s="95">
        <v>0</v>
      </c>
      <c r="K299" s="94"/>
    </row>
    <row r="300" spans="2:11" x14ac:dyDescent="0.25">
      <c r="B300" s="89" t="s">
        <v>80</v>
      </c>
      <c r="C300" s="89" t="s">
        <v>81</v>
      </c>
      <c r="D300" s="89" t="s">
        <v>32</v>
      </c>
      <c r="E300" s="89" t="s">
        <v>598</v>
      </c>
      <c r="F300" s="89" t="s">
        <v>729</v>
      </c>
      <c r="G300" s="93" t="s">
        <v>730</v>
      </c>
      <c r="H300" s="93" t="s">
        <v>731</v>
      </c>
      <c r="I300" s="89"/>
      <c r="J300" s="95">
        <v>0</v>
      </c>
      <c r="K300" s="94"/>
    </row>
    <row r="301" spans="2:11" x14ac:dyDescent="0.25">
      <c r="B301" s="89" t="s">
        <v>80</v>
      </c>
      <c r="C301" s="89" t="s">
        <v>81</v>
      </c>
      <c r="D301" s="89" t="s">
        <v>32</v>
      </c>
      <c r="E301" s="89" t="s">
        <v>598</v>
      </c>
      <c r="F301" s="89" t="s">
        <v>732</v>
      </c>
      <c r="G301" s="93" t="s">
        <v>733</v>
      </c>
      <c r="H301" s="93" t="s">
        <v>734</v>
      </c>
      <c r="I301" s="89"/>
      <c r="J301" s="95">
        <v>0</v>
      </c>
      <c r="K301" s="94"/>
    </row>
    <row r="302" spans="2:11" x14ac:dyDescent="0.25">
      <c r="B302" s="89" t="s">
        <v>80</v>
      </c>
      <c r="C302" s="89" t="s">
        <v>81</v>
      </c>
      <c r="D302" s="89" t="s">
        <v>32</v>
      </c>
      <c r="E302" s="89" t="s">
        <v>598</v>
      </c>
      <c r="F302" s="89" t="s">
        <v>735</v>
      </c>
      <c r="G302" s="93" t="s">
        <v>736</v>
      </c>
      <c r="H302" s="93" t="s">
        <v>106</v>
      </c>
      <c r="I302" s="89"/>
      <c r="J302" s="95">
        <v>0</v>
      </c>
      <c r="K302" s="94"/>
    </row>
    <row r="303" spans="2:11" x14ac:dyDescent="0.25">
      <c r="B303" s="89" t="s">
        <v>80</v>
      </c>
      <c r="C303" s="89" t="s">
        <v>81</v>
      </c>
      <c r="D303" s="89" t="s">
        <v>32</v>
      </c>
      <c r="E303" s="89" t="s">
        <v>598</v>
      </c>
      <c r="F303" s="89" t="s">
        <v>737</v>
      </c>
      <c r="G303" s="93" t="s">
        <v>738</v>
      </c>
      <c r="H303" s="93" t="s">
        <v>106</v>
      </c>
      <c r="I303" s="89"/>
      <c r="J303" s="95">
        <v>0</v>
      </c>
      <c r="K303" s="94"/>
    </row>
    <row r="304" spans="2:11" x14ac:dyDescent="0.25">
      <c r="B304" s="89" t="s">
        <v>80</v>
      </c>
      <c r="C304" s="89" t="s">
        <v>81</v>
      </c>
      <c r="D304" s="89" t="s">
        <v>32</v>
      </c>
      <c r="E304" s="89" t="s">
        <v>598</v>
      </c>
      <c r="F304" s="89" t="s">
        <v>739</v>
      </c>
      <c r="G304" s="93" t="s">
        <v>740</v>
      </c>
      <c r="H304" s="93" t="s">
        <v>106</v>
      </c>
      <c r="I304" s="89"/>
      <c r="J304" s="95">
        <v>0</v>
      </c>
      <c r="K304" s="94"/>
    </row>
    <row r="305" spans="2:11" x14ac:dyDescent="0.25">
      <c r="B305" s="89" t="s">
        <v>80</v>
      </c>
      <c r="C305" s="89" t="s">
        <v>81</v>
      </c>
      <c r="D305" s="89" t="s">
        <v>32</v>
      </c>
      <c r="E305" s="89" t="s">
        <v>598</v>
      </c>
      <c r="F305" s="89" t="s">
        <v>741</v>
      </c>
      <c r="G305" s="93" t="s">
        <v>742</v>
      </c>
      <c r="H305" s="93" t="s">
        <v>106</v>
      </c>
      <c r="I305" s="89"/>
      <c r="J305" s="95">
        <v>0</v>
      </c>
      <c r="K305" s="94"/>
    </row>
    <row r="306" spans="2:11" x14ac:dyDescent="0.25">
      <c r="B306" s="89" t="s">
        <v>80</v>
      </c>
      <c r="C306" s="89" t="s">
        <v>81</v>
      </c>
      <c r="D306" s="89" t="s">
        <v>32</v>
      </c>
      <c r="E306" s="89" t="s">
        <v>598</v>
      </c>
      <c r="F306" s="89" t="s">
        <v>743</v>
      </c>
      <c r="G306" s="93" t="s">
        <v>744</v>
      </c>
      <c r="H306" s="93" t="s">
        <v>106</v>
      </c>
      <c r="I306" s="89"/>
      <c r="J306" s="95">
        <v>0</v>
      </c>
      <c r="K306" s="94"/>
    </row>
    <row r="307" spans="2:11" x14ac:dyDescent="0.25">
      <c r="B307" s="89" t="s">
        <v>80</v>
      </c>
      <c r="C307" s="89" t="s">
        <v>81</v>
      </c>
      <c r="D307" s="89" t="s">
        <v>32</v>
      </c>
      <c r="E307" s="89" t="s">
        <v>598</v>
      </c>
      <c r="F307" s="89" t="s">
        <v>745</v>
      </c>
      <c r="G307" s="93" t="s">
        <v>746</v>
      </c>
      <c r="H307" s="93" t="s">
        <v>106</v>
      </c>
      <c r="I307" s="89"/>
      <c r="J307" s="95">
        <v>0</v>
      </c>
      <c r="K307" s="94"/>
    </row>
    <row r="308" spans="2:11" x14ac:dyDescent="0.25">
      <c r="B308" s="89" t="s">
        <v>80</v>
      </c>
      <c r="C308" s="89" t="s">
        <v>81</v>
      </c>
      <c r="D308" s="89" t="s">
        <v>32</v>
      </c>
      <c r="E308" s="89" t="s">
        <v>598</v>
      </c>
      <c r="F308" s="89" t="s">
        <v>747</v>
      </c>
      <c r="G308" s="93" t="s">
        <v>748</v>
      </c>
      <c r="H308" s="93" t="s">
        <v>106</v>
      </c>
      <c r="I308" s="89"/>
      <c r="J308" s="95">
        <v>0</v>
      </c>
      <c r="K308" s="94"/>
    </row>
    <row r="309" spans="2:11" x14ac:dyDescent="0.25">
      <c r="B309" s="89" t="s">
        <v>80</v>
      </c>
      <c r="C309" s="89" t="s">
        <v>81</v>
      </c>
      <c r="D309" s="89" t="s">
        <v>32</v>
      </c>
      <c r="E309" s="89" t="s">
        <v>598</v>
      </c>
      <c r="F309" s="89" t="s">
        <v>749</v>
      </c>
      <c r="G309" s="93" t="s">
        <v>750</v>
      </c>
      <c r="H309" s="93" t="s">
        <v>106</v>
      </c>
      <c r="I309" s="89"/>
      <c r="J309" s="95">
        <v>0</v>
      </c>
      <c r="K309" s="94"/>
    </row>
    <row r="310" spans="2:11" x14ac:dyDescent="0.25">
      <c r="B310" s="89" t="s">
        <v>80</v>
      </c>
      <c r="C310" s="89" t="s">
        <v>81</v>
      </c>
      <c r="D310" s="89" t="s">
        <v>32</v>
      </c>
      <c r="E310" s="89" t="s">
        <v>598</v>
      </c>
      <c r="F310" s="89" t="s">
        <v>751</v>
      </c>
      <c r="G310" s="93" t="s">
        <v>752</v>
      </c>
      <c r="H310" s="93" t="s">
        <v>106</v>
      </c>
      <c r="I310" s="89"/>
      <c r="J310" s="95">
        <v>0</v>
      </c>
      <c r="K310" s="94"/>
    </row>
    <row r="311" spans="2:11" x14ac:dyDescent="0.25">
      <c r="B311" s="89" t="s">
        <v>80</v>
      </c>
      <c r="C311" s="89" t="s">
        <v>81</v>
      </c>
      <c r="D311" s="89" t="s">
        <v>32</v>
      </c>
      <c r="E311" s="89" t="s">
        <v>598</v>
      </c>
      <c r="F311" s="89" t="s">
        <v>753</v>
      </c>
      <c r="G311" s="93" t="s">
        <v>754</v>
      </c>
      <c r="H311" s="93" t="s">
        <v>106</v>
      </c>
      <c r="I311" s="89"/>
      <c r="J311" s="95">
        <v>0</v>
      </c>
      <c r="K311" s="94"/>
    </row>
    <row r="312" spans="2:11" x14ac:dyDescent="0.25">
      <c r="B312" s="89" t="s">
        <v>80</v>
      </c>
      <c r="C312" s="89" t="s">
        <v>81</v>
      </c>
      <c r="D312" s="89" t="s">
        <v>32</v>
      </c>
      <c r="E312" s="89" t="s">
        <v>598</v>
      </c>
      <c r="F312" s="89" t="s">
        <v>755</v>
      </c>
      <c r="G312" s="93" t="s">
        <v>756</v>
      </c>
      <c r="H312" s="93" t="s">
        <v>731</v>
      </c>
      <c r="I312" s="89"/>
      <c r="J312" s="95">
        <v>0</v>
      </c>
      <c r="K312" s="94"/>
    </row>
    <row r="313" spans="2:11" x14ac:dyDescent="0.25">
      <c r="B313" s="89" t="s">
        <v>80</v>
      </c>
      <c r="C313" s="89" t="s">
        <v>81</v>
      </c>
      <c r="D313" s="89" t="s">
        <v>32</v>
      </c>
      <c r="E313" s="89" t="s">
        <v>598</v>
      </c>
      <c r="F313" s="89" t="s">
        <v>757</v>
      </c>
      <c r="G313" s="93" t="s">
        <v>758</v>
      </c>
      <c r="H313" s="93" t="s">
        <v>734</v>
      </c>
      <c r="I313" s="89"/>
      <c r="J313" s="95">
        <v>0</v>
      </c>
      <c r="K313" s="94"/>
    </row>
    <row r="314" spans="2:11" x14ac:dyDescent="0.25">
      <c r="B314" s="89" t="s">
        <v>80</v>
      </c>
      <c r="C314" s="89" t="s">
        <v>81</v>
      </c>
      <c r="D314" s="89" t="s">
        <v>32</v>
      </c>
      <c r="E314" s="89" t="s">
        <v>598</v>
      </c>
      <c r="F314" s="89" t="s">
        <v>759</v>
      </c>
      <c r="G314" s="93" t="s">
        <v>760</v>
      </c>
      <c r="H314" s="93" t="s">
        <v>106</v>
      </c>
      <c r="I314" s="89"/>
      <c r="J314" s="95">
        <v>0</v>
      </c>
      <c r="K314" s="94"/>
    </row>
    <row r="315" spans="2:11" x14ac:dyDescent="0.25">
      <c r="B315" s="89" t="s">
        <v>80</v>
      </c>
      <c r="C315" s="89" t="s">
        <v>81</v>
      </c>
      <c r="D315" s="89" t="s">
        <v>32</v>
      </c>
      <c r="E315" s="89" t="s">
        <v>598</v>
      </c>
      <c r="F315" s="89" t="s">
        <v>761</v>
      </c>
      <c r="G315" s="93" t="s">
        <v>762</v>
      </c>
      <c r="H315" s="93" t="s">
        <v>106</v>
      </c>
      <c r="I315" s="89"/>
      <c r="J315" s="95">
        <v>0</v>
      </c>
      <c r="K315" s="94"/>
    </row>
    <row r="316" spans="2:11" x14ac:dyDescent="0.25">
      <c r="B316" s="89" t="s">
        <v>80</v>
      </c>
      <c r="C316" s="89" t="s">
        <v>81</v>
      </c>
      <c r="D316" s="89" t="s">
        <v>32</v>
      </c>
      <c r="E316" s="89" t="s">
        <v>598</v>
      </c>
      <c r="F316" s="89" t="s">
        <v>763</v>
      </c>
      <c r="G316" s="93" t="s">
        <v>764</v>
      </c>
      <c r="H316" s="93" t="s">
        <v>106</v>
      </c>
      <c r="I316" s="89"/>
      <c r="J316" s="95">
        <v>0</v>
      </c>
      <c r="K316" s="94"/>
    </row>
    <row r="317" spans="2:11" x14ac:dyDescent="0.25">
      <c r="B317" s="89" t="s">
        <v>80</v>
      </c>
      <c r="C317" s="89" t="s">
        <v>81</v>
      </c>
      <c r="D317" s="89" t="s">
        <v>32</v>
      </c>
      <c r="E317" s="89" t="s">
        <v>598</v>
      </c>
      <c r="F317" s="89" t="s">
        <v>765</v>
      </c>
      <c r="G317" s="93" t="s">
        <v>766</v>
      </c>
      <c r="H317" s="93" t="s">
        <v>106</v>
      </c>
      <c r="I317" s="89"/>
      <c r="J317" s="95">
        <v>0</v>
      </c>
      <c r="K317" s="94"/>
    </row>
    <row r="318" spans="2:11" x14ac:dyDescent="0.25">
      <c r="B318" s="89" t="s">
        <v>80</v>
      </c>
      <c r="C318" s="89" t="s">
        <v>81</v>
      </c>
      <c r="D318" s="89" t="s">
        <v>32</v>
      </c>
      <c r="E318" s="89" t="s">
        <v>767</v>
      </c>
      <c r="F318" s="89" t="s">
        <v>768</v>
      </c>
      <c r="G318" s="93" t="s">
        <v>769</v>
      </c>
      <c r="H318" s="93" t="s">
        <v>106</v>
      </c>
      <c r="I318" s="89"/>
      <c r="J318" s="95">
        <v>0</v>
      </c>
      <c r="K318" s="94"/>
    </row>
    <row r="319" spans="2:11" x14ac:dyDescent="0.25">
      <c r="B319" s="89" t="s">
        <v>80</v>
      </c>
      <c r="C319" s="89" t="s">
        <v>81</v>
      </c>
      <c r="D319" s="89" t="s">
        <v>32</v>
      </c>
      <c r="E319" s="89" t="s">
        <v>767</v>
      </c>
      <c r="F319" s="89" t="s">
        <v>770</v>
      </c>
      <c r="G319" s="93" t="s">
        <v>771</v>
      </c>
      <c r="H319" s="93" t="s">
        <v>106</v>
      </c>
      <c r="I319" s="89"/>
      <c r="J319" s="95">
        <v>0</v>
      </c>
      <c r="K319" s="94"/>
    </row>
    <row r="320" spans="2:11" x14ac:dyDescent="0.25">
      <c r="B320" s="89" t="s">
        <v>80</v>
      </c>
      <c r="C320" s="89" t="s">
        <v>81</v>
      </c>
      <c r="D320" s="89" t="s">
        <v>32</v>
      </c>
      <c r="E320" s="89" t="s">
        <v>767</v>
      </c>
      <c r="F320" s="89" t="s">
        <v>772</v>
      </c>
      <c r="G320" s="93" t="s">
        <v>773</v>
      </c>
      <c r="H320" s="93" t="s">
        <v>106</v>
      </c>
      <c r="I320" s="89"/>
      <c r="J320" s="95">
        <v>0</v>
      </c>
      <c r="K320" s="94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380F-CEB3-4E0B-90DC-B7689FE75782}">
  <dimension ref="B4:I85"/>
  <sheetViews>
    <sheetView showGridLines="0" showRowColHeaders="0" topLeftCell="A7" zoomScale="77" workbookViewId="0">
      <selection activeCell="F25" sqref="F25"/>
    </sheetView>
  </sheetViews>
  <sheetFormatPr defaultRowHeight="15" x14ac:dyDescent="0.25"/>
  <cols>
    <col min="2" max="2" width="22.28515625" customWidth="1"/>
    <col min="3" max="3" width="20.7109375" customWidth="1"/>
    <col min="5" max="5" width="15.28515625" customWidth="1"/>
    <col min="6" max="6" width="50.7109375" customWidth="1"/>
    <col min="7" max="8" width="20.7109375" customWidth="1"/>
    <col min="9" max="9" width="17.42578125" customWidth="1"/>
  </cols>
  <sheetData>
    <row r="4" spans="2:9" x14ac:dyDescent="0.25">
      <c r="B4" s="85" t="s">
        <v>774</v>
      </c>
      <c r="C4" s="77"/>
    </row>
    <row r="5" spans="2:9" x14ac:dyDescent="0.25">
      <c r="B5" s="81" t="str" cm="1">
        <f t="array" ref="B5">"Período: " &amp;TB_Data[Periodo] &amp;TB_Data[Periodo_Fechado_Aberto]</f>
        <v>Período: Maio/2026 - Parcial</v>
      </c>
      <c r="C5" s="77"/>
    </row>
    <row r="6" spans="2:9" x14ac:dyDescent="0.25">
      <c r="B6" s="83" t="str" cm="1">
        <f t="array" ref="B6">"Data de referência: "&amp;TB_Data[Data]</f>
        <v>Data de referência: 26/05/2026</v>
      </c>
    </row>
    <row r="7" spans="2:9" x14ac:dyDescent="0.25">
      <c r="B7" s="83"/>
    </row>
    <row r="8" spans="2:9" ht="63" customHeight="1" x14ac:dyDescent="0.25">
      <c r="B8" s="92" t="s">
        <v>95</v>
      </c>
      <c r="C8" s="92" t="s">
        <v>69</v>
      </c>
      <c r="D8" s="92" t="s">
        <v>46</v>
      </c>
      <c r="E8" s="92" t="s">
        <v>96</v>
      </c>
      <c r="F8" s="92" t="s">
        <v>775</v>
      </c>
      <c r="G8" s="92" t="s">
        <v>776</v>
      </c>
      <c r="H8" s="92" t="s">
        <v>777</v>
      </c>
      <c r="I8" s="92" t="s">
        <v>778</v>
      </c>
    </row>
    <row r="9" spans="2:9" x14ac:dyDescent="0.25">
      <c r="B9" s="89" t="s">
        <v>80</v>
      </c>
      <c r="C9" s="89" t="s">
        <v>81</v>
      </c>
      <c r="D9" s="89" t="s">
        <v>34</v>
      </c>
      <c r="E9" s="89" t="s">
        <v>779</v>
      </c>
      <c r="F9" s="89" t="s">
        <v>780</v>
      </c>
      <c r="G9" s="89"/>
      <c r="H9" s="98"/>
      <c r="I9" s="94"/>
    </row>
    <row r="10" spans="2:9" x14ac:dyDescent="0.25">
      <c r="B10" s="89" t="s">
        <v>80</v>
      </c>
      <c r="C10" s="89" t="s">
        <v>81</v>
      </c>
      <c r="D10" s="89" t="s">
        <v>34</v>
      </c>
      <c r="E10" s="89" t="s">
        <v>779</v>
      </c>
      <c r="F10" s="89" t="s">
        <v>781</v>
      </c>
      <c r="G10" s="89"/>
      <c r="H10" s="98"/>
      <c r="I10" s="94"/>
    </row>
    <row r="11" spans="2:9" x14ac:dyDescent="0.25">
      <c r="B11" s="89" t="s">
        <v>80</v>
      </c>
      <c r="C11" s="89" t="s">
        <v>81</v>
      </c>
      <c r="D11" s="89" t="s">
        <v>34</v>
      </c>
      <c r="E11" s="89" t="s">
        <v>779</v>
      </c>
      <c r="F11" s="89" t="s">
        <v>782</v>
      </c>
      <c r="G11" s="89"/>
      <c r="H11" s="98"/>
      <c r="I11" s="94"/>
    </row>
    <row r="12" spans="2:9" x14ac:dyDescent="0.25">
      <c r="B12" s="89" t="s">
        <v>80</v>
      </c>
      <c r="C12" s="89" t="s">
        <v>81</v>
      </c>
      <c r="D12" s="89" t="s">
        <v>34</v>
      </c>
      <c r="E12" s="89" t="s">
        <v>779</v>
      </c>
      <c r="F12" s="89" t="s">
        <v>783</v>
      </c>
      <c r="G12" s="89"/>
      <c r="H12" s="98"/>
      <c r="I12" s="94"/>
    </row>
    <row r="13" spans="2:9" x14ac:dyDescent="0.25">
      <c r="B13" s="89" t="s">
        <v>80</v>
      </c>
      <c r="C13" s="89" t="s">
        <v>81</v>
      </c>
      <c r="D13" s="89" t="s">
        <v>34</v>
      </c>
      <c r="E13" s="89" t="s">
        <v>779</v>
      </c>
      <c r="F13" s="89" t="s">
        <v>784</v>
      </c>
      <c r="G13" s="89"/>
      <c r="H13" s="98"/>
      <c r="I13" s="94"/>
    </row>
    <row r="14" spans="2:9" x14ac:dyDescent="0.25">
      <c r="B14" s="89" t="s">
        <v>80</v>
      </c>
      <c r="C14" s="89" t="s">
        <v>81</v>
      </c>
      <c r="D14" s="89" t="s">
        <v>34</v>
      </c>
      <c r="E14" s="89" t="s">
        <v>779</v>
      </c>
      <c r="F14" s="89" t="s">
        <v>785</v>
      </c>
      <c r="G14" s="89"/>
      <c r="H14" s="98"/>
      <c r="I14" s="94"/>
    </row>
    <row r="15" spans="2:9" x14ac:dyDescent="0.25">
      <c r="B15" s="89" t="s">
        <v>80</v>
      </c>
      <c r="C15" s="89" t="s">
        <v>81</v>
      </c>
      <c r="D15" s="89" t="s">
        <v>34</v>
      </c>
      <c r="E15" s="89" t="s">
        <v>779</v>
      </c>
      <c r="F15" s="89" t="s">
        <v>786</v>
      </c>
      <c r="G15" s="89"/>
      <c r="H15" s="98"/>
      <c r="I15" s="94"/>
    </row>
    <row r="16" spans="2:9" x14ac:dyDescent="0.25">
      <c r="B16" s="89" t="s">
        <v>80</v>
      </c>
      <c r="C16" s="89" t="s">
        <v>81</v>
      </c>
      <c r="D16" s="89" t="s">
        <v>34</v>
      </c>
      <c r="E16" s="89" t="s">
        <v>779</v>
      </c>
      <c r="F16" s="89" t="s">
        <v>787</v>
      </c>
      <c r="G16" s="89"/>
      <c r="H16" s="98"/>
      <c r="I16" s="94"/>
    </row>
    <row r="17" spans="2:9" x14ac:dyDescent="0.25">
      <c r="B17" s="89" t="s">
        <v>80</v>
      </c>
      <c r="C17" s="89" t="s">
        <v>81</v>
      </c>
      <c r="D17" s="89" t="s">
        <v>34</v>
      </c>
      <c r="E17" s="89" t="s">
        <v>788</v>
      </c>
      <c r="F17" s="89" t="s">
        <v>789</v>
      </c>
      <c r="G17" s="89"/>
      <c r="H17" s="98"/>
      <c r="I17" s="94"/>
    </row>
    <row r="18" spans="2:9" x14ac:dyDescent="0.25">
      <c r="B18" s="89" t="s">
        <v>80</v>
      </c>
      <c r="C18" s="89" t="s">
        <v>81</v>
      </c>
      <c r="D18" s="89" t="s">
        <v>34</v>
      </c>
      <c r="E18" s="89" t="s">
        <v>788</v>
      </c>
      <c r="F18" s="89" t="s">
        <v>790</v>
      </c>
      <c r="G18" s="89"/>
      <c r="H18" s="98"/>
      <c r="I18" s="94"/>
    </row>
    <row r="19" spans="2:9" x14ac:dyDescent="0.25">
      <c r="B19" s="89" t="s">
        <v>80</v>
      </c>
      <c r="C19" s="89" t="s">
        <v>81</v>
      </c>
      <c r="D19" s="89" t="s">
        <v>34</v>
      </c>
      <c r="E19" s="89" t="s">
        <v>788</v>
      </c>
      <c r="F19" s="89" t="s">
        <v>791</v>
      </c>
      <c r="G19" s="89"/>
      <c r="H19" s="98"/>
      <c r="I19" s="94"/>
    </row>
    <row r="20" spans="2:9" x14ac:dyDescent="0.25">
      <c r="B20" s="89" t="s">
        <v>80</v>
      </c>
      <c r="C20" s="89" t="s">
        <v>81</v>
      </c>
      <c r="D20" s="89" t="s">
        <v>34</v>
      </c>
      <c r="E20" s="89" t="s">
        <v>788</v>
      </c>
      <c r="F20" s="89" t="s">
        <v>792</v>
      </c>
      <c r="G20" s="89"/>
      <c r="H20" s="98"/>
      <c r="I20" s="94"/>
    </row>
    <row r="21" spans="2:9" x14ac:dyDescent="0.25">
      <c r="B21" s="89" t="s">
        <v>80</v>
      </c>
      <c r="C21" s="89" t="s">
        <v>81</v>
      </c>
      <c r="D21" s="89" t="s">
        <v>34</v>
      </c>
      <c r="E21" s="89" t="s">
        <v>788</v>
      </c>
      <c r="F21" s="89" t="s">
        <v>793</v>
      </c>
      <c r="G21" s="89"/>
      <c r="H21" s="98"/>
      <c r="I21" s="94"/>
    </row>
    <row r="22" spans="2:9" x14ac:dyDescent="0.25">
      <c r="B22" s="89" t="s">
        <v>80</v>
      </c>
      <c r="C22" s="89" t="s">
        <v>81</v>
      </c>
      <c r="D22" s="89" t="s">
        <v>34</v>
      </c>
      <c r="E22" s="89" t="s">
        <v>788</v>
      </c>
      <c r="F22" s="89" t="s">
        <v>794</v>
      </c>
      <c r="G22" s="89"/>
      <c r="H22" s="98"/>
      <c r="I22" s="94"/>
    </row>
    <row r="23" spans="2:9" x14ac:dyDescent="0.25">
      <c r="B23" s="89" t="s">
        <v>80</v>
      </c>
      <c r="C23" s="89" t="s">
        <v>81</v>
      </c>
      <c r="D23" s="89" t="s">
        <v>34</v>
      </c>
      <c r="E23" s="89" t="s">
        <v>788</v>
      </c>
      <c r="F23" s="89" t="s">
        <v>795</v>
      </c>
      <c r="G23" s="89"/>
      <c r="H23" s="98"/>
      <c r="I23" s="94"/>
    </row>
    <row r="24" spans="2:9" x14ac:dyDescent="0.25">
      <c r="B24" s="89" t="s">
        <v>80</v>
      </c>
      <c r="C24" s="89" t="s">
        <v>81</v>
      </c>
      <c r="D24" s="89" t="s">
        <v>34</v>
      </c>
      <c r="E24" s="89" t="s">
        <v>788</v>
      </c>
      <c r="F24" s="89" t="s">
        <v>796</v>
      </c>
      <c r="G24" s="89"/>
      <c r="H24" s="98"/>
      <c r="I24" s="94"/>
    </row>
    <row r="25" spans="2:9" x14ac:dyDescent="0.25">
      <c r="B25" s="89" t="s">
        <v>80</v>
      </c>
      <c r="C25" s="89" t="s">
        <v>81</v>
      </c>
      <c r="D25" s="89" t="s">
        <v>34</v>
      </c>
      <c r="E25" s="89" t="s">
        <v>797</v>
      </c>
      <c r="F25" s="89" t="s">
        <v>798</v>
      </c>
      <c r="G25" s="89"/>
      <c r="H25" s="98"/>
      <c r="I25" s="94"/>
    </row>
    <row r="26" spans="2:9" x14ac:dyDescent="0.25">
      <c r="B26" s="89" t="s">
        <v>80</v>
      </c>
      <c r="C26" s="89" t="s">
        <v>81</v>
      </c>
      <c r="D26" s="89" t="s">
        <v>34</v>
      </c>
      <c r="E26" s="89" t="s">
        <v>797</v>
      </c>
      <c r="F26" s="89" t="s">
        <v>799</v>
      </c>
      <c r="G26" s="89"/>
      <c r="H26" s="98"/>
      <c r="I26" s="94"/>
    </row>
    <row r="27" spans="2:9" x14ac:dyDescent="0.25">
      <c r="B27" s="89" t="s">
        <v>80</v>
      </c>
      <c r="C27" s="89" t="s">
        <v>81</v>
      </c>
      <c r="D27" s="89" t="s">
        <v>34</v>
      </c>
      <c r="E27" s="89" t="s">
        <v>797</v>
      </c>
      <c r="F27" s="89" t="s">
        <v>800</v>
      </c>
      <c r="G27" s="89"/>
      <c r="H27" s="98"/>
      <c r="I27" s="94"/>
    </row>
    <row r="28" spans="2:9" x14ac:dyDescent="0.25">
      <c r="B28" s="89" t="s">
        <v>80</v>
      </c>
      <c r="C28" s="89" t="s">
        <v>81</v>
      </c>
      <c r="D28" s="89" t="s">
        <v>34</v>
      </c>
      <c r="E28" s="89" t="s">
        <v>797</v>
      </c>
      <c r="F28" s="89" t="s">
        <v>801</v>
      </c>
      <c r="G28" s="89"/>
      <c r="H28" s="98"/>
      <c r="I28" s="94"/>
    </row>
    <row r="29" spans="2:9" x14ac:dyDescent="0.25">
      <c r="B29" s="89" t="s">
        <v>80</v>
      </c>
      <c r="C29" s="89" t="s">
        <v>81</v>
      </c>
      <c r="D29" s="89" t="s">
        <v>34</v>
      </c>
      <c r="E29" s="89" t="s">
        <v>797</v>
      </c>
      <c r="F29" s="89" t="s">
        <v>802</v>
      </c>
      <c r="G29" s="89"/>
      <c r="H29" s="98"/>
      <c r="I29" s="94"/>
    </row>
    <row r="30" spans="2:9" x14ac:dyDescent="0.25">
      <c r="B30" s="89" t="s">
        <v>80</v>
      </c>
      <c r="C30" s="89" t="s">
        <v>81</v>
      </c>
      <c r="D30" s="89" t="s">
        <v>34</v>
      </c>
      <c r="E30" s="89" t="s">
        <v>797</v>
      </c>
      <c r="F30" s="89" t="s">
        <v>803</v>
      </c>
      <c r="G30" s="89"/>
      <c r="H30" s="98"/>
      <c r="I30" s="94"/>
    </row>
    <row r="31" spans="2:9" x14ac:dyDescent="0.25">
      <c r="B31" s="89" t="s">
        <v>80</v>
      </c>
      <c r="C31" s="89" t="s">
        <v>81</v>
      </c>
      <c r="D31" s="89" t="s">
        <v>34</v>
      </c>
      <c r="E31" s="89" t="s">
        <v>797</v>
      </c>
      <c r="F31" s="89" t="s">
        <v>804</v>
      </c>
      <c r="G31" s="89"/>
      <c r="H31" s="98"/>
      <c r="I31" s="94"/>
    </row>
    <row r="32" spans="2:9" x14ac:dyDescent="0.25">
      <c r="B32" s="89" t="s">
        <v>80</v>
      </c>
      <c r="C32" s="89" t="s">
        <v>81</v>
      </c>
      <c r="D32" s="89" t="s">
        <v>34</v>
      </c>
      <c r="E32" s="89" t="s">
        <v>805</v>
      </c>
      <c r="F32" s="89" t="s">
        <v>806</v>
      </c>
      <c r="G32" s="89"/>
      <c r="H32" s="98"/>
      <c r="I32" s="94"/>
    </row>
    <row r="33" spans="2:9" x14ac:dyDescent="0.25">
      <c r="B33" s="89" t="s">
        <v>80</v>
      </c>
      <c r="C33" s="89" t="s">
        <v>81</v>
      </c>
      <c r="D33" s="89" t="s">
        <v>34</v>
      </c>
      <c r="E33" s="89" t="s">
        <v>805</v>
      </c>
      <c r="F33" s="89" t="s">
        <v>807</v>
      </c>
      <c r="G33" s="89"/>
      <c r="H33" s="98"/>
      <c r="I33" s="94"/>
    </row>
    <row r="34" spans="2:9" x14ac:dyDescent="0.25">
      <c r="B34" s="89" t="s">
        <v>80</v>
      </c>
      <c r="C34" s="89" t="s">
        <v>81</v>
      </c>
      <c r="D34" s="89" t="s">
        <v>34</v>
      </c>
      <c r="E34" s="89" t="s">
        <v>805</v>
      </c>
      <c r="F34" s="89" t="s">
        <v>808</v>
      </c>
      <c r="G34" s="89"/>
      <c r="H34" s="98"/>
      <c r="I34" s="94"/>
    </row>
    <row r="35" spans="2:9" x14ac:dyDescent="0.25">
      <c r="B35" s="89" t="s">
        <v>80</v>
      </c>
      <c r="C35" s="89" t="s">
        <v>81</v>
      </c>
      <c r="D35" s="89" t="s">
        <v>34</v>
      </c>
      <c r="E35" s="89" t="s">
        <v>805</v>
      </c>
      <c r="F35" s="89" t="s">
        <v>809</v>
      </c>
      <c r="G35" s="89"/>
      <c r="H35" s="98"/>
      <c r="I35" s="94"/>
    </row>
    <row r="36" spans="2:9" x14ac:dyDescent="0.25">
      <c r="B36" s="89" t="s">
        <v>80</v>
      </c>
      <c r="C36" s="89" t="s">
        <v>81</v>
      </c>
      <c r="D36" s="89" t="s">
        <v>34</v>
      </c>
      <c r="E36" s="89" t="s">
        <v>805</v>
      </c>
      <c r="F36" s="89" t="s">
        <v>810</v>
      </c>
      <c r="G36" s="89"/>
      <c r="H36" s="98"/>
      <c r="I36" s="94"/>
    </row>
    <row r="37" spans="2:9" x14ac:dyDescent="0.25">
      <c r="B37" s="89" t="s">
        <v>80</v>
      </c>
      <c r="C37" s="89" t="s">
        <v>81</v>
      </c>
      <c r="D37" s="89" t="s">
        <v>34</v>
      </c>
      <c r="E37" s="89" t="s">
        <v>805</v>
      </c>
      <c r="F37" s="89" t="s">
        <v>811</v>
      </c>
      <c r="G37" s="89"/>
      <c r="H37" s="98"/>
      <c r="I37" s="94"/>
    </row>
    <row r="38" spans="2:9" x14ac:dyDescent="0.25">
      <c r="B38" s="89" t="s">
        <v>80</v>
      </c>
      <c r="C38" s="89" t="s">
        <v>81</v>
      </c>
      <c r="D38" s="89" t="s">
        <v>34</v>
      </c>
      <c r="E38" s="89" t="s">
        <v>805</v>
      </c>
      <c r="F38" s="89" t="s">
        <v>812</v>
      </c>
      <c r="G38" s="89"/>
      <c r="H38" s="98"/>
      <c r="I38" s="94"/>
    </row>
    <row r="39" spans="2:9" x14ac:dyDescent="0.25">
      <c r="B39" s="89" t="s">
        <v>80</v>
      </c>
      <c r="C39" s="89" t="s">
        <v>81</v>
      </c>
      <c r="D39" s="89" t="s">
        <v>34</v>
      </c>
      <c r="E39" s="89" t="s">
        <v>805</v>
      </c>
      <c r="F39" s="89" t="s">
        <v>813</v>
      </c>
      <c r="G39" s="89"/>
      <c r="H39" s="98"/>
      <c r="I39" s="94"/>
    </row>
    <row r="40" spans="2:9" x14ac:dyDescent="0.25">
      <c r="B40" s="89" t="s">
        <v>80</v>
      </c>
      <c r="C40" s="89" t="s">
        <v>81</v>
      </c>
      <c r="D40" s="89" t="s">
        <v>33</v>
      </c>
      <c r="E40" s="89" t="s">
        <v>814</v>
      </c>
      <c r="F40" s="89" t="s">
        <v>815</v>
      </c>
      <c r="G40" s="89"/>
      <c r="H40" s="98"/>
      <c r="I40" s="94"/>
    </row>
    <row r="41" spans="2:9" x14ac:dyDescent="0.25">
      <c r="B41" s="89" t="s">
        <v>80</v>
      </c>
      <c r="C41" s="89" t="s">
        <v>81</v>
      </c>
      <c r="D41" s="89" t="s">
        <v>33</v>
      </c>
      <c r="E41" s="89" t="s">
        <v>816</v>
      </c>
      <c r="F41" s="89" t="s">
        <v>817</v>
      </c>
      <c r="G41" s="89"/>
      <c r="H41" s="98"/>
      <c r="I41" s="94"/>
    </row>
    <row r="42" spans="2:9" x14ac:dyDescent="0.25">
      <c r="B42" s="89" t="s">
        <v>80</v>
      </c>
      <c r="C42" s="89" t="s">
        <v>81</v>
      </c>
      <c r="D42" s="89" t="s">
        <v>33</v>
      </c>
      <c r="E42" s="89" t="s">
        <v>818</v>
      </c>
      <c r="F42" s="89" t="s">
        <v>819</v>
      </c>
      <c r="G42" s="89"/>
      <c r="H42" s="98"/>
      <c r="I42" s="94"/>
    </row>
    <row r="43" spans="2:9" x14ac:dyDescent="0.25">
      <c r="B43" s="89" t="s">
        <v>80</v>
      </c>
      <c r="C43" s="89" t="s">
        <v>81</v>
      </c>
      <c r="D43" s="89" t="s">
        <v>33</v>
      </c>
      <c r="E43" s="89" t="s">
        <v>818</v>
      </c>
      <c r="F43" s="89" t="s">
        <v>820</v>
      </c>
      <c r="G43" s="89"/>
      <c r="H43" s="98"/>
      <c r="I43" s="94"/>
    </row>
    <row r="44" spans="2:9" x14ac:dyDescent="0.25">
      <c r="B44" s="89" t="s">
        <v>80</v>
      </c>
      <c r="C44" s="89" t="s">
        <v>81</v>
      </c>
      <c r="D44" s="89" t="s">
        <v>33</v>
      </c>
      <c r="E44" s="89" t="s">
        <v>286</v>
      </c>
      <c r="F44" s="89" t="s">
        <v>821</v>
      </c>
      <c r="G44" s="89"/>
      <c r="H44" s="98"/>
      <c r="I44" s="94"/>
    </row>
    <row r="45" spans="2:9" x14ac:dyDescent="0.25">
      <c r="B45" s="89" t="s">
        <v>80</v>
      </c>
      <c r="C45" s="89" t="s">
        <v>81</v>
      </c>
      <c r="D45" s="89" t="s">
        <v>33</v>
      </c>
      <c r="E45" s="89" t="s">
        <v>286</v>
      </c>
      <c r="F45" s="89" t="s">
        <v>822</v>
      </c>
      <c r="G45" s="89"/>
      <c r="H45" s="98"/>
      <c r="I45" s="94"/>
    </row>
    <row r="46" spans="2:9" x14ac:dyDescent="0.25">
      <c r="B46" s="89" t="s">
        <v>80</v>
      </c>
      <c r="C46" s="89" t="s">
        <v>81</v>
      </c>
      <c r="D46" s="89" t="s">
        <v>33</v>
      </c>
      <c r="E46" s="89" t="s">
        <v>286</v>
      </c>
      <c r="F46" s="89" t="s">
        <v>823</v>
      </c>
      <c r="G46" s="89"/>
      <c r="H46" s="98"/>
      <c r="I46" s="94"/>
    </row>
    <row r="47" spans="2:9" x14ac:dyDescent="0.25">
      <c r="B47" s="89" t="s">
        <v>80</v>
      </c>
      <c r="C47" s="89" t="s">
        <v>81</v>
      </c>
      <c r="D47" s="89" t="s">
        <v>33</v>
      </c>
      <c r="E47" s="89" t="s">
        <v>824</v>
      </c>
      <c r="F47" s="89" t="s">
        <v>825</v>
      </c>
      <c r="G47" s="89"/>
      <c r="H47" s="98"/>
      <c r="I47" s="94"/>
    </row>
    <row r="48" spans="2:9" x14ac:dyDescent="0.25">
      <c r="B48" s="89" t="s">
        <v>80</v>
      </c>
      <c r="C48" s="89" t="s">
        <v>81</v>
      </c>
      <c r="D48" s="89" t="s">
        <v>33</v>
      </c>
      <c r="E48" s="89" t="s">
        <v>824</v>
      </c>
      <c r="F48" s="89" t="s">
        <v>826</v>
      </c>
      <c r="G48" s="89"/>
      <c r="H48" s="98"/>
      <c r="I48" s="94"/>
    </row>
    <row r="49" spans="2:9" x14ac:dyDescent="0.25">
      <c r="B49" s="89" t="s">
        <v>80</v>
      </c>
      <c r="C49" s="89" t="s">
        <v>81</v>
      </c>
      <c r="D49" s="89" t="s">
        <v>33</v>
      </c>
      <c r="E49" s="89" t="s">
        <v>827</v>
      </c>
      <c r="F49" s="89" t="s">
        <v>828</v>
      </c>
      <c r="G49" s="89"/>
      <c r="H49" s="98"/>
      <c r="I49" s="94"/>
    </row>
    <row r="50" spans="2:9" x14ac:dyDescent="0.25">
      <c r="B50" s="89" t="s">
        <v>80</v>
      </c>
      <c r="C50" s="89" t="s">
        <v>81</v>
      </c>
      <c r="D50" s="89" t="s">
        <v>35</v>
      </c>
      <c r="E50" s="89" t="s">
        <v>332</v>
      </c>
      <c r="F50" s="89" t="s">
        <v>829</v>
      </c>
      <c r="G50" s="89"/>
      <c r="H50" s="98"/>
      <c r="I50" s="94"/>
    </row>
    <row r="51" spans="2:9" x14ac:dyDescent="0.25">
      <c r="B51" s="89" t="s">
        <v>80</v>
      </c>
      <c r="C51" s="89" t="s">
        <v>81</v>
      </c>
      <c r="D51" s="89" t="s">
        <v>35</v>
      </c>
      <c r="E51" s="89" t="s">
        <v>332</v>
      </c>
      <c r="F51" s="89" t="s">
        <v>830</v>
      </c>
      <c r="G51" s="89"/>
      <c r="H51" s="98"/>
      <c r="I51" s="94"/>
    </row>
    <row r="52" spans="2:9" x14ac:dyDescent="0.25">
      <c r="B52" s="89" t="s">
        <v>80</v>
      </c>
      <c r="C52" s="89" t="s">
        <v>81</v>
      </c>
      <c r="D52" s="89" t="s">
        <v>35</v>
      </c>
      <c r="E52" s="89" t="s">
        <v>332</v>
      </c>
      <c r="F52" s="89" t="s">
        <v>831</v>
      </c>
      <c r="G52" s="89"/>
      <c r="H52" s="98"/>
      <c r="I52" s="94"/>
    </row>
    <row r="53" spans="2:9" x14ac:dyDescent="0.25">
      <c r="B53" s="89" t="s">
        <v>80</v>
      </c>
      <c r="C53" s="89" t="s">
        <v>81</v>
      </c>
      <c r="D53" s="89" t="s">
        <v>35</v>
      </c>
      <c r="E53" s="89" t="s">
        <v>332</v>
      </c>
      <c r="F53" s="89" t="s">
        <v>832</v>
      </c>
      <c r="G53" s="89"/>
      <c r="H53" s="98"/>
      <c r="I53" s="94"/>
    </row>
    <row r="54" spans="2:9" x14ac:dyDescent="0.25">
      <c r="B54" s="89" t="s">
        <v>80</v>
      </c>
      <c r="C54" s="89" t="s">
        <v>81</v>
      </c>
      <c r="D54" s="89" t="s">
        <v>35</v>
      </c>
      <c r="E54" s="89" t="s">
        <v>332</v>
      </c>
      <c r="F54" s="89" t="s">
        <v>833</v>
      </c>
      <c r="G54" s="89"/>
      <c r="H54" s="98"/>
      <c r="I54" s="94"/>
    </row>
    <row r="55" spans="2:9" x14ac:dyDescent="0.25">
      <c r="B55" s="89" t="s">
        <v>80</v>
      </c>
      <c r="C55" s="89" t="s">
        <v>81</v>
      </c>
      <c r="D55" s="89" t="s">
        <v>35</v>
      </c>
      <c r="E55" s="89" t="s">
        <v>347</v>
      </c>
      <c r="F55" s="89" t="s">
        <v>834</v>
      </c>
      <c r="G55" s="89"/>
      <c r="H55" s="98"/>
      <c r="I55" s="94"/>
    </row>
    <row r="56" spans="2:9" x14ac:dyDescent="0.25">
      <c r="B56" s="89" t="s">
        <v>80</v>
      </c>
      <c r="C56" s="89" t="s">
        <v>81</v>
      </c>
      <c r="D56" s="89" t="s">
        <v>35</v>
      </c>
      <c r="E56" s="89" t="s">
        <v>347</v>
      </c>
      <c r="F56" s="89" t="s">
        <v>835</v>
      </c>
      <c r="G56" s="89"/>
      <c r="H56" s="98"/>
      <c r="I56" s="94"/>
    </row>
    <row r="57" spans="2:9" x14ac:dyDescent="0.25">
      <c r="B57" s="89" t="s">
        <v>80</v>
      </c>
      <c r="C57" s="89" t="s">
        <v>81</v>
      </c>
      <c r="D57" s="89" t="s">
        <v>35</v>
      </c>
      <c r="E57" s="89" t="s">
        <v>347</v>
      </c>
      <c r="F57" s="89" t="s">
        <v>836</v>
      </c>
      <c r="G57" s="89"/>
      <c r="H57" s="98"/>
      <c r="I57" s="94"/>
    </row>
    <row r="58" spans="2:9" x14ac:dyDescent="0.25">
      <c r="B58" s="89" t="s">
        <v>80</v>
      </c>
      <c r="C58" s="89" t="s">
        <v>81</v>
      </c>
      <c r="D58" s="89" t="s">
        <v>35</v>
      </c>
      <c r="E58" s="89" t="s">
        <v>347</v>
      </c>
      <c r="F58" s="89" t="s">
        <v>837</v>
      </c>
      <c r="G58" s="89"/>
      <c r="H58" s="98"/>
      <c r="I58" s="94"/>
    </row>
    <row r="59" spans="2:9" x14ac:dyDescent="0.25">
      <c r="B59" s="89" t="s">
        <v>80</v>
      </c>
      <c r="C59" s="89" t="s">
        <v>81</v>
      </c>
      <c r="D59" s="89" t="s">
        <v>35</v>
      </c>
      <c r="E59" s="89" t="s">
        <v>347</v>
      </c>
      <c r="F59" s="89" t="s">
        <v>838</v>
      </c>
      <c r="G59" s="89"/>
      <c r="H59" s="98"/>
      <c r="I59" s="94"/>
    </row>
    <row r="60" spans="2:9" x14ac:dyDescent="0.25">
      <c r="B60" s="89" t="s">
        <v>80</v>
      </c>
      <c r="C60" s="89" t="s">
        <v>81</v>
      </c>
      <c r="D60" s="89" t="s">
        <v>35</v>
      </c>
      <c r="E60" s="89" t="s">
        <v>347</v>
      </c>
      <c r="F60" s="89" t="s">
        <v>839</v>
      </c>
      <c r="G60" s="89"/>
      <c r="H60" s="98"/>
      <c r="I60" s="94"/>
    </row>
    <row r="61" spans="2:9" x14ac:dyDescent="0.25">
      <c r="B61" s="89" t="s">
        <v>80</v>
      </c>
      <c r="C61" s="89" t="s">
        <v>81</v>
      </c>
      <c r="D61" s="89" t="s">
        <v>35</v>
      </c>
      <c r="E61" s="89" t="s">
        <v>347</v>
      </c>
      <c r="F61" s="89" t="s">
        <v>840</v>
      </c>
      <c r="G61" s="89"/>
      <c r="H61" s="98"/>
      <c r="I61" s="94"/>
    </row>
    <row r="62" spans="2:9" x14ac:dyDescent="0.25">
      <c r="B62" s="89" t="s">
        <v>80</v>
      </c>
      <c r="C62" s="89" t="s">
        <v>81</v>
      </c>
      <c r="D62" s="89" t="s">
        <v>35</v>
      </c>
      <c r="E62" s="89" t="s">
        <v>347</v>
      </c>
      <c r="F62" s="89" t="s">
        <v>841</v>
      </c>
      <c r="G62" s="89"/>
      <c r="H62" s="98"/>
      <c r="I62" s="94"/>
    </row>
    <row r="63" spans="2:9" x14ac:dyDescent="0.25">
      <c r="B63" s="89" t="s">
        <v>80</v>
      </c>
      <c r="C63" s="89" t="s">
        <v>81</v>
      </c>
      <c r="D63" s="89" t="s">
        <v>35</v>
      </c>
      <c r="E63" s="89" t="s">
        <v>347</v>
      </c>
      <c r="F63" s="89" t="s">
        <v>842</v>
      </c>
      <c r="G63" s="89"/>
      <c r="H63" s="98"/>
      <c r="I63" s="94"/>
    </row>
    <row r="64" spans="2:9" x14ac:dyDescent="0.25">
      <c r="B64" s="89" t="s">
        <v>80</v>
      </c>
      <c r="C64" s="89" t="s">
        <v>81</v>
      </c>
      <c r="D64" s="89" t="s">
        <v>35</v>
      </c>
      <c r="E64" s="89" t="s">
        <v>347</v>
      </c>
      <c r="F64" s="89" t="s">
        <v>843</v>
      </c>
      <c r="G64" s="89"/>
      <c r="H64" s="98"/>
      <c r="I64" s="94"/>
    </row>
    <row r="65" spans="2:9" x14ac:dyDescent="0.25">
      <c r="B65" s="89" t="s">
        <v>80</v>
      </c>
      <c r="C65" s="89" t="s">
        <v>81</v>
      </c>
      <c r="D65" s="89" t="s">
        <v>35</v>
      </c>
      <c r="E65" s="89" t="s">
        <v>347</v>
      </c>
      <c r="F65" s="89" t="s">
        <v>844</v>
      </c>
      <c r="G65" s="89"/>
      <c r="H65" s="98"/>
      <c r="I65" s="94"/>
    </row>
    <row r="66" spans="2:9" x14ac:dyDescent="0.25">
      <c r="B66" s="89" t="s">
        <v>80</v>
      </c>
      <c r="C66" s="89" t="s">
        <v>81</v>
      </c>
      <c r="D66" s="89" t="s">
        <v>35</v>
      </c>
      <c r="E66" s="89" t="s">
        <v>845</v>
      </c>
      <c r="F66" s="89" t="s">
        <v>846</v>
      </c>
      <c r="G66" s="89"/>
      <c r="H66" s="98"/>
      <c r="I66" s="94"/>
    </row>
    <row r="67" spans="2:9" x14ac:dyDescent="0.25">
      <c r="B67" s="89" t="s">
        <v>80</v>
      </c>
      <c r="C67" s="89" t="s">
        <v>81</v>
      </c>
      <c r="D67" s="89" t="s">
        <v>35</v>
      </c>
      <c r="E67" s="89" t="s">
        <v>845</v>
      </c>
      <c r="F67" s="89" t="s">
        <v>847</v>
      </c>
      <c r="G67" s="89"/>
      <c r="H67" s="98"/>
      <c r="I67" s="94"/>
    </row>
    <row r="68" spans="2:9" x14ac:dyDescent="0.25">
      <c r="B68" s="89" t="s">
        <v>80</v>
      </c>
      <c r="C68" s="89" t="s">
        <v>81</v>
      </c>
      <c r="D68" s="89" t="s">
        <v>35</v>
      </c>
      <c r="E68" s="89" t="s">
        <v>532</v>
      </c>
      <c r="F68" s="89" t="s">
        <v>848</v>
      </c>
      <c r="G68" s="89"/>
      <c r="H68" s="98"/>
      <c r="I68" s="94"/>
    </row>
    <row r="69" spans="2:9" x14ac:dyDescent="0.25">
      <c r="B69" s="89" t="s">
        <v>80</v>
      </c>
      <c r="C69" s="89" t="s">
        <v>81</v>
      </c>
      <c r="D69" s="89" t="s">
        <v>35</v>
      </c>
      <c r="E69" s="89" t="s">
        <v>532</v>
      </c>
      <c r="F69" s="89" t="s">
        <v>849</v>
      </c>
      <c r="G69" s="89"/>
      <c r="H69" s="98"/>
      <c r="I69" s="94"/>
    </row>
    <row r="70" spans="2:9" x14ac:dyDescent="0.25">
      <c r="B70" s="89" t="s">
        <v>80</v>
      </c>
      <c r="C70" s="89" t="s">
        <v>81</v>
      </c>
      <c r="D70" s="89" t="s">
        <v>35</v>
      </c>
      <c r="E70" s="89" t="s">
        <v>532</v>
      </c>
      <c r="F70" s="89" t="s">
        <v>850</v>
      </c>
      <c r="G70" s="89"/>
      <c r="H70" s="98"/>
      <c r="I70" s="94"/>
    </row>
    <row r="71" spans="2:9" x14ac:dyDescent="0.25">
      <c r="B71" s="89" t="s">
        <v>80</v>
      </c>
      <c r="C71" s="89" t="s">
        <v>81</v>
      </c>
      <c r="D71" s="89" t="s">
        <v>35</v>
      </c>
      <c r="E71" s="89" t="s">
        <v>851</v>
      </c>
      <c r="F71" s="89" t="s">
        <v>852</v>
      </c>
      <c r="G71" s="89"/>
      <c r="H71" s="98"/>
      <c r="I71" s="94"/>
    </row>
    <row r="72" spans="2:9" x14ac:dyDescent="0.25">
      <c r="B72" s="89" t="s">
        <v>80</v>
      </c>
      <c r="C72" s="89" t="s">
        <v>81</v>
      </c>
      <c r="D72" s="89" t="s">
        <v>35</v>
      </c>
      <c r="E72" s="89" t="s">
        <v>851</v>
      </c>
      <c r="F72" s="89" t="s">
        <v>853</v>
      </c>
      <c r="G72" s="89"/>
      <c r="H72" s="98"/>
      <c r="I72" s="94"/>
    </row>
    <row r="73" spans="2:9" x14ac:dyDescent="0.25">
      <c r="B73" s="89" t="s">
        <v>80</v>
      </c>
      <c r="C73" s="89" t="s">
        <v>81</v>
      </c>
      <c r="D73" s="89" t="s">
        <v>35</v>
      </c>
      <c r="E73" s="89" t="s">
        <v>851</v>
      </c>
      <c r="F73" s="89" t="s">
        <v>854</v>
      </c>
      <c r="G73" s="89"/>
      <c r="H73" s="98"/>
      <c r="I73" s="94"/>
    </row>
    <row r="74" spans="2:9" x14ac:dyDescent="0.25">
      <c r="B74" s="89" t="s">
        <v>80</v>
      </c>
      <c r="C74" s="89" t="s">
        <v>81</v>
      </c>
      <c r="D74" s="89" t="s">
        <v>32</v>
      </c>
      <c r="E74" s="89" t="s">
        <v>855</v>
      </c>
      <c r="F74" s="89" t="s">
        <v>856</v>
      </c>
      <c r="G74" s="89"/>
      <c r="H74" s="98"/>
      <c r="I74" s="94"/>
    </row>
    <row r="75" spans="2:9" x14ac:dyDescent="0.25">
      <c r="B75" s="89" t="s">
        <v>80</v>
      </c>
      <c r="C75" s="89" t="s">
        <v>81</v>
      </c>
      <c r="D75" s="89" t="s">
        <v>32</v>
      </c>
      <c r="E75" s="89" t="s">
        <v>855</v>
      </c>
      <c r="F75" s="89" t="s">
        <v>857</v>
      </c>
      <c r="G75" s="89"/>
      <c r="H75" s="98"/>
      <c r="I75" s="94"/>
    </row>
    <row r="76" spans="2:9" x14ac:dyDescent="0.25">
      <c r="B76" s="89" t="s">
        <v>80</v>
      </c>
      <c r="C76" s="89" t="s">
        <v>81</v>
      </c>
      <c r="D76" s="89" t="s">
        <v>32</v>
      </c>
      <c r="E76" s="89" t="s">
        <v>855</v>
      </c>
      <c r="F76" s="89" t="s">
        <v>858</v>
      </c>
      <c r="G76" s="89"/>
      <c r="H76" s="98"/>
      <c r="I76" s="94"/>
    </row>
    <row r="77" spans="2:9" x14ac:dyDescent="0.25">
      <c r="B77" s="89" t="s">
        <v>80</v>
      </c>
      <c r="C77" s="89" t="s">
        <v>81</v>
      </c>
      <c r="D77" s="89" t="s">
        <v>32</v>
      </c>
      <c r="E77" s="89" t="s">
        <v>855</v>
      </c>
      <c r="F77" s="89" t="s">
        <v>859</v>
      </c>
      <c r="G77" s="89"/>
      <c r="H77" s="98"/>
      <c r="I77" s="94"/>
    </row>
    <row r="78" spans="2:9" x14ac:dyDescent="0.25">
      <c r="B78" s="89" t="s">
        <v>80</v>
      </c>
      <c r="C78" s="89" t="s">
        <v>81</v>
      </c>
      <c r="D78" s="89" t="s">
        <v>32</v>
      </c>
      <c r="E78" s="89" t="s">
        <v>855</v>
      </c>
      <c r="F78" s="89" t="s">
        <v>860</v>
      </c>
      <c r="G78" s="89"/>
      <c r="H78" s="98"/>
      <c r="I78" s="94"/>
    </row>
    <row r="79" spans="2:9" x14ac:dyDescent="0.25">
      <c r="B79" s="89" t="s">
        <v>80</v>
      </c>
      <c r="C79" s="89" t="s">
        <v>81</v>
      </c>
      <c r="D79" s="89" t="s">
        <v>32</v>
      </c>
      <c r="E79" s="89" t="s">
        <v>855</v>
      </c>
      <c r="F79" s="89" t="s">
        <v>861</v>
      </c>
      <c r="G79" s="89"/>
      <c r="H79" s="98"/>
      <c r="I79" s="94"/>
    </row>
    <row r="80" spans="2:9" x14ac:dyDescent="0.25">
      <c r="B80" s="89" t="s">
        <v>80</v>
      </c>
      <c r="C80" s="89" t="s">
        <v>81</v>
      </c>
      <c r="D80" s="89" t="s">
        <v>32</v>
      </c>
      <c r="E80" s="89" t="s">
        <v>855</v>
      </c>
      <c r="F80" s="89" t="s">
        <v>862</v>
      </c>
      <c r="G80" s="89"/>
      <c r="H80" s="98"/>
      <c r="I80" s="94"/>
    </row>
    <row r="81" spans="2:9" x14ac:dyDescent="0.25">
      <c r="B81" s="89" t="s">
        <v>80</v>
      </c>
      <c r="C81" s="89" t="s">
        <v>81</v>
      </c>
      <c r="D81" s="89" t="s">
        <v>32</v>
      </c>
      <c r="E81" s="89" t="s">
        <v>855</v>
      </c>
      <c r="F81" s="89" t="s">
        <v>863</v>
      </c>
      <c r="G81" s="89"/>
      <c r="H81" s="98"/>
      <c r="I81" s="94"/>
    </row>
    <row r="82" spans="2:9" x14ac:dyDescent="0.25">
      <c r="B82" s="89" t="s">
        <v>80</v>
      </c>
      <c r="C82" s="89" t="s">
        <v>81</v>
      </c>
      <c r="D82" s="89" t="s">
        <v>32</v>
      </c>
      <c r="E82" s="89" t="s">
        <v>855</v>
      </c>
      <c r="F82" s="89" t="s">
        <v>864</v>
      </c>
      <c r="G82" s="89"/>
      <c r="H82" s="98"/>
      <c r="I82" s="94"/>
    </row>
    <row r="83" spans="2:9" x14ac:dyDescent="0.25">
      <c r="B83" s="89" t="s">
        <v>80</v>
      </c>
      <c r="C83" s="89" t="s">
        <v>81</v>
      </c>
      <c r="D83" s="89" t="s">
        <v>32</v>
      </c>
      <c r="E83" s="89" t="s">
        <v>855</v>
      </c>
      <c r="F83" s="89" t="s">
        <v>865</v>
      </c>
      <c r="G83" s="89"/>
      <c r="H83" s="98"/>
      <c r="I83" s="94"/>
    </row>
    <row r="84" spans="2:9" x14ac:dyDescent="0.25">
      <c r="B84" s="89" t="s">
        <v>80</v>
      </c>
      <c r="C84" s="89" t="s">
        <v>81</v>
      </c>
      <c r="D84" s="89" t="s">
        <v>32</v>
      </c>
      <c r="E84" s="89" t="s">
        <v>855</v>
      </c>
      <c r="F84" s="89" t="s">
        <v>866</v>
      </c>
      <c r="G84" s="89"/>
      <c r="H84" s="98"/>
      <c r="I84" s="94"/>
    </row>
    <row r="85" spans="2:9" x14ac:dyDescent="0.25">
      <c r="B85" s="89" t="s">
        <v>80</v>
      </c>
      <c r="C85" s="89" t="s">
        <v>81</v>
      </c>
      <c r="D85" s="89" t="s">
        <v>32</v>
      </c>
      <c r="E85" s="89" t="s">
        <v>855</v>
      </c>
      <c r="F85" s="89" t="s">
        <v>867</v>
      </c>
      <c r="G85" s="89"/>
      <c r="H85" s="98"/>
      <c r="I85" s="94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13BA-0685-4529-B5E1-36A4099FE2D6}">
  <dimension ref="B4:H934"/>
  <sheetViews>
    <sheetView showGridLines="0" topLeftCell="A8" zoomScale="72" workbookViewId="0">
      <selection activeCell="H8" sqref="H8"/>
    </sheetView>
  </sheetViews>
  <sheetFormatPr defaultRowHeight="15" x14ac:dyDescent="0.25"/>
  <cols>
    <col min="2" max="2" width="22.28515625" customWidth="1"/>
    <col min="3" max="3" width="20.7109375" customWidth="1"/>
    <col min="5" max="5" width="29.28515625" customWidth="1"/>
    <col min="6" max="7" width="50.7109375" customWidth="1"/>
    <col min="8" max="8" width="16.28515625" customWidth="1"/>
  </cols>
  <sheetData>
    <row r="4" spans="2:8" ht="14.25" customHeight="1" x14ac:dyDescent="0.25">
      <c r="B4" s="85" t="s">
        <v>868</v>
      </c>
      <c r="C4" s="77"/>
    </row>
    <row r="5" spans="2:8" x14ac:dyDescent="0.25">
      <c r="B5" s="81" t="str" cm="1">
        <f t="array" ref="B5">"Período: " &amp;TB_Data[Periodo] &amp;TB_Data[Periodo_Fechado_Aberto]</f>
        <v>Período: Maio/2026 - Parcial</v>
      </c>
      <c r="C5" s="77"/>
    </row>
    <row r="6" spans="2:8" x14ac:dyDescent="0.25">
      <c r="B6" s="83" t="str" cm="1">
        <f t="array" ref="B6">"Data de referência: "&amp;TB_Data[Data]</f>
        <v>Data de referência: 26/05/2026</v>
      </c>
    </row>
    <row r="7" spans="2:8" x14ac:dyDescent="0.25">
      <c r="B7" s="83"/>
    </row>
    <row r="8" spans="2:8" ht="30" customHeight="1" x14ac:dyDescent="0.25">
      <c r="B8" s="92" t="s">
        <v>95</v>
      </c>
      <c r="C8" s="92" t="s">
        <v>69</v>
      </c>
      <c r="D8" s="92" t="s">
        <v>46</v>
      </c>
      <c r="E8" s="92" t="s">
        <v>96</v>
      </c>
      <c r="F8" s="92" t="s">
        <v>775</v>
      </c>
      <c r="G8" s="92" t="s">
        <v>869</v>
      </c>
      <c r="H8" s="92" t="s">
        <v>870</v>
      </c>
    </row>
    <row r="9" spans="2:8" x14ac:dyDescent="0.25">
      <c r="B9" s="89" t="s">
        <v>80</v>
      </c>
      <c r="C9" s="89" t="s">
        <v>81</v>
      </c>
      <c r="D9" s="89" t="s">
        <v>34</v>
      </c>
      <c r="E9" s="89" t="s">
        <v>779</v>
      </c>
      <c r="F9" s="89" t="s">
        <v>780</v>
      </c>
      <c r="G9" s="89" t="s">
        <v>121</v>
      </c>
      <c r="H9" s="93" t="s">
        <v>122</v>
      </c>
    </row>
    <row r="10" spans="2:8" x14ac:dyDescent="0.25">
      <c r="B10" s="89" t="s">
        <v>80</v>
      </c>
      <c r="C10" s="89" t="s">
        <v>81</v>
      </c>
      <c r="D10" s="89" t="s">
        <v>34</v>
      </c>
      <c r="E10" s="89" t="s">
        <v>779</v>
      </c>
      <c r="F10" s="89" t="s">
        <v>780</v>
      </c>
      <c r="G10" s="89" t="s">
        <v>871</v>
      </c>
      <c r="H10" s="93" t="s">
        <v>117</v>
      </c>
    </row>
    <row r="11" spans="2:8" x14ac:dyDescent="0.25">
      <c r="B11" s="89" t="s">
        <v>80</v>
      </c>
      <c r="C11" s="89" t="s">
        <v>81</v>
      </c>
      <c r="D11" s="89" t="s">
        <v>34</v>
      </c>
      <c r="E11" s="89" t="s">
        <v>779</v>
      </c>
      <c r="F11" s="89" t="s">
        <v>780</v>
      </c>
      <c r="G11" s="89" t="s">
        <v>872</v>
      </c>
      <c r="H11" s="93" t="s">
        <v>873</v>
      </c>
    </row>
    <row r="12" spans="2:8" x14ac:dyDescent="0.25">
      <c r="B12" s="89" t="s">
        <v>80</v>
      </c>
      <c r="C12" s="89" t="s">
        <v>81</v>
      </c>
      <c r="D12" s="89" t="s">
        <v>34</v>
      </c>
      <c r="E12" s="89" t="s">
        <v>779</v>
      </c>
      <c r="F12" s="89" t="s">
        <v>780</v>
      </c>
      <c r="G12" s="89" t="s">
        <v>874</v>
      </c>
      <c r="H12" s="93" t="s">
        <v>875</v>
      </c>
    </row>
    <row r="13" spans="2:8" x14ac:dyDescent="0.25">
      <c r="B13" s="89" t="s">
        <v>80</v>
      </c>
      <c r="C13" s="89" t="s">
        <v>81</v>
      </c>
      <c r="D13" s="89" t="s">
        <v>34</v>
      </c>
      <c r="E13" s="89" t="s">
        <v>779</v>
      </c>
      <c r="F13" s="89" t="s">
        <v>780</v>
      </c>
      <c r="G13" s="89" t="s">
        <v>128</v>
      </c>
      <c r="H13" s="93" t="s">
        <v>129</v>
      </c>
    </row>
    <row r="14" spans="2:8" x14ac:dyDescent="0.25">
      <c r="B14" s="89" t="s">
        <v>80</v>
      </c>
      <c r="C14" s="89" t="s">
        <v>81</v>
      </c>
      <c r="D14" s="89" t="s">
        <v>34</v>
      </c>
      <c r="E14" s="89" t="s">
        <v>779</v>
      </c>
      <c r="F14" s="89" t="s">
        <v>780</v>
      </c>
      <c r="G14" s="89" t="s">
        <v>107</v>
      </c>
      <c r="H14" s="93" t="s">
        <v>108</v>
      </c>
    </row>
    <row r="15" spans="2:8" x14ac:dyDescent="0.25">
      <c r="B15" s="89" t="s">
        <v>80</v>
      </c>
      <c r="C15" s="89" t="s">
        <v>81</v>
      </c>
      <c r="D15" s="89" t="s">
        <v>34</v>
      </c>
      <c r="E15" s="89" t="s">
        <v>779</v>
      </c>
      <c r="F15" s="89" t="s">
        <v>780</v>
      </c>
      <c r="G15" s="89" t="s">
        <v>109</v>
      </c>
      <c r="H15" s="93" t="s">
        <v>110</v>
      </c>
    </row>
    <row r="16" spans="2:8" x14ac:dyDescent="0.25">
      <c r="B16" s="89" t="s">
        <v>80</v>
      </c>
      <c r="C16" s="89" t="s">
        <v>81</v>
      </c>
      <c r="D16" s="89" t="s">
        <v>34</v>
      </c>
      <c r="E16" s="89" t="s">
        <v>779</v>
      </c>
      <c r="F16" s="89" t="s">
        <v>780</v>
      </c>
      <c r="G16" s="89" t="s">
        <v>134</v>
      </c>
      <c r="H16" s="93" t="s">
        <v>135</v>
      </c>
    </row>
    <row r="17" spans="2:8" x14ac:dyDescent="0.25">
      <c r="B17" s="89" t="s">
        <v>80</v>
      </c>
      <c r="C17" s="89" t="s">
        <v>81</v>
      </c>
      <c r="D17" s="89" t="s">
        <v>34</v>
      </c>
      <c r="E17" s="89" t="s">
        <v>779</v>
      </c>
      <c r="F17" s="89" t="s">
        <v>781</v>
      </c>
      <c r="G17" s="89" t="s">
        <v>876</v>
      </c>
      <c r="H17" s="93" t="s">
        <v>877</v>
      </c>
    </row>
    <row r="18" spans="2:8" x14ac:dyDescent="0.25">
      <c r="B18" s="89" t="s">
        <v>80</v>
      </c>
      <c r="C18" s="89" t="s">
        <v>81</v>
      </c>
      <c r="D18" s="89" t="s">
        <v>34</v>
      </c>
      <c r="E18" s="89" t="s">
        <v>779</v>
      </c>
      <c r="F18" s="89" t="s">
        <v>781</v>
      </c>
      <c r="G18" s="89" t="s">
        <v>878</v>
      </c>
      <c r="H18" s="93" t="s">
        <v>137</v>
      </c>
    </row>
    <row r="19" spans="2:8" x14ac:dyDescent="0.25">
      <c r="B19" s="89" t="s">
        <v>80</v>
      </c>
      <c r="C19" s="89" t="s">
        <v>81</v>
      </c>
      <c r="D19" s="89" t="s">
        <v>34</v>
      </c>
      <c r="E19" s="89" t="s">
        <v>779</v>
      </c>
      <c r="F19" s="89" t="s">
        <v>781</v>
      </c>
      <c r="G19" s="89" t="s">
        <v>879</v>
      </c>
      <c r="H19" s="93" t="s">
        <v>880</v>
      </c>
    </row>
    <row r="20" spans="2:8" x14ac:dyDescent="0.25">
      <c r="B20" s="89" t="s">
        <v>80</v>
      </c>
      <c r="C20" s="89" t="s">
        <v>81</v>
      </c>
      <c r="D20" s="89" t="s">
        <v>34</v>
      </c>
      <c r="E20" s="89" t="s">
        <v>779</v>
      </c>
      <c r="F20" s="89" t="s">
        <v>782</v>
      </c>
      <c r="G20" s="89" t="s">
        <v>881</v>
      </c>
      <c r="H20" s="93" t="s">
        <v>882</v>
      </c>
    </row>
    <row r="21" spans="2:8" x14ac:dyDescent="0.25">
      <c r="B21" s="89" t="s">
        <v>80</v>
      </c>
      <c r="C21" s="89" t="s">
        <v>81</v>
      </c>
      <c r="D21" s="89" t="s">
        <v>34</v>
      </c>
      <c r="E21" s="89" t="s">
        <v>779</v>
      </c>
      <c r="F21" s="89" t="s">
        <v>782</v>
      </c>
      <c r="G21" s="89" t="s">
        <v>883</v>
      </c>
      <c r="H21" s="93" t="s">
        <v>884</v>
      </c>
    </row>
    <row r="22" spans="2:8" x14ac:dyDescent="0.25">
      <c r="B22" s="89" t="s">
        <v>80</v>
      </c>
      <c r="C22" s="89" t="s">
        <v>81</v>
      </c>
      <c r="D22" s="89" t="s">
        <v>34</v>
      </c>
      <c r="E22" s="89" t="s">
        <v>779</v>
      </c>
      <c r="F22" s="89" t="s">
        <v>782</v>
      </c>
      <c r="G22" s="89" t="s">
        <v>885</v>
      </c>
      <c r="H22" s="93" t="s">
        <v>886</v>
      </c>
    </row>
    <row r="23" spans="2:8" x14ac:dyDescent="0.25">
      <c r="B23" s="89" t="s">
        <v>80</v>
      </c>
      <c r="C23" s="89" t="s">
        <v>81</v>
      </c>
      <c r="D23" s="89" t="s">
        <v>34</v>
      </c>
      <c r="E23" s="89" t="s">
        <v>779</v>
      </c>
      <c r="F23" s="89" t="s">
        <v>782</v>
      </c>
      <c r="G23" s="89" t="s">
        <v>887</v>
      </c>
      <c r="H23" s="93" t="s">
        <v>888</v>
      </c>
    </row>
    <row r="24" spans="2:8" x14ac:dyDescent="0.25">
      <c r="B24" s="89" t="s">
        <v>80</v>
      </c>
      <c r="C24" s="89" t="s">
        <v>81</v>
      </c>
      <c r="D24" s="89" t="s">
        <v>34</v>
      </c>
      <c r="E24" s="89" t="s">
        <v>779</v>
      </c>
      <c r="F24" s="89" t="s">
        <v>782</v>
      </c>
      <c r="G24" s="89" t="s">
        <v>889</v>
      </c>
      <c r="H24" s="93" t="s">
        <v>890</v>
      </c>
    </row>
    <row r="25" spans="2:8" x14ac:dyDescent="0.25">
      <c r="B25" s="89" t="s">
        <v>80</v>
      </c>
      <c r="C25" s="89" t="s">
        <v>81</v>
      </c>
      <c r="D25" s="89" t="s">
        <v>34</v>
      </c>
      <c r="E25" s="89" t="s">
        <v>779</v>
      </c>
      <c r="F25" s="89" t="s">
        <v>782</v>
      </c>
      <c r="G25" s="89" t="s">
        <v>891</v>
      </c>
      <c r="H25" s="93" t="s">
        <v>892</v>
      </c>
    </row>
    <row r="26" spans="2:8" x14ac:dyDescent="0.25">
      <c r="B26" s="89" t="s">
        <v>80</v>
      </c>
      <c r="C26" s="89" t="s">
        <v>81</v>
      </c>
      <c r="D26" s="89" t="s">
        <v>34</v>
      </c>
      <c r="E26" s="89" t="s">
        <v>779</v>
      </c>
      <c r="F26" s="89" t="s">
        <v>782</v>
      </c>
      <c r="G26" s="89" t="s">
        <v>893</v>
      </c>
      <c r="H26" s="93" t="s">
        <v>894</v>
      </c>
    </row>
    <row r="27" spans="2:8" x14ac:dyDescent="0.25">
      <c r="B27" s="89" t="s">
        <v>80</v>
      </c>
      <c r="C27" s="89" t="s">
        <v>81</v>
      </c>
      <c r="D27" s="89" t="s">
        <v>34</v>
      </c>
      <c r="E27" s="89" t="s">
        <v>779</v>
      </c>
      <c r="F27" s="89" t="s">
        <v>783</v>
      </c>
      <c r="G27" s="89" t="s">
        <v>895</v>
      </c>
      <c r="H27" s="93" t="s">
        <v>896</v>
      </c>
    </row>
    <row r="28" spans="2:8" x14ac:dyDescent="0.25">
      <c r="B28" s="89" t="s">
        <v>80</v>
      </c>
      <c r="C28" s="89" t="s">
        <v>81</v>
      </c>
      <c r="D28" s="89" t="s">
        <v>34</v>
      </c>
      <c r="E28" s="89" t="s">
        <v>779</v>
      </c>
      <c r="F28" s="89" t="s">
        <v>783</v>
      </c>
      <c r="G28" s="89" t="s">
        <v>130</v>
      </c>
      <c r="H28" s="93" t="s">
        <v>131</v>
      </c>
    </row>
    <row r="29" spans="2:8" x14ac:dyDescent="0.25">
      <c r="B29" s="89" t="s">
        <v>80</v>
      </c>
      <c r="C29" s="89" t="s">
        <v>81</v>
      </c>
      <c r="D29" s="89" t="s">
        <v>34</v>
      </c>
      <c r="E29" s="89" t="s">
        <v>779</v>
      </c>
      <c r="F29" s="89" t="s">
        <v>783</v>
      </c>
      <c r="G29" s="89" t="s">
        <v>897</v>
      </c>
      <c r="H29" s="93" t="s">
        <v>127</v>
      </c>
    </row>
    <row r="30" spans="2:8" x14ac:dyDescent="0.25">
      <c r="B30" s="89" t="s">
        <v>80</v>
      </c>
      <c r="C30" s="89" t="s">
        <v>81</v>
      </c>
      <c r="D30" s="89" t="s">
        <v>34</v>
      </c>
      <c r="E30" s="89" t="s">
        <v>779</v>
      </c>
      <c r="F30" s="89" t="s">
        <v>783</v>
      </c>
      <c r="G30" s="89" t="s">
        <v>898</v>
      </c>
      <c r="H30" s="93" t="s">
        <v>899</v>
      </c>
    </row>
    <row r="31" spans="2:8" x14ac:dyDescent="0.25">
      <c r="B31" s="89" t="s">
        <v>80</v>
      </c>
      <c r="C31" s="89" t="s">
        <v>81</v>
      </c>
      <c r="D31" s="89" t="s">
        <v>34</v>
      </c>
      <c r="E31" s="89" t="s">
        <v>779</v>
      </c>
      <c r="F31" s="89" t="s">
        <v>783</v>
      </c>
      <c r="G31" s="89" t="s">
        <v>900</v>
      </c>
      <c r="H31" s="93" t="s">
        <v>901</v>
      </c>
    </row>
    <row r="32" spans="2:8" x14ac:dyDescent="0.25">
      <c r="B32" s="89" t="s">
        <v>80</v>
      </c>
      <c r="C32" s="89" t="s">
        <v>81</v>
      </c>
      <c r="D32" s="89" t="s">
        <v>34</v>
      </c>
      <c r="E32" s="89" t="s">
        <v>779</v>
      </c>
      <c r="F32" s="89" t="s">
        <v>783</v>
      </c>
      <c r="G32" s="89" t="s">
        <v>902</v>
      </c>
      <c r="H32" s="93" t="s">
        <v>903</v>
      </c>
    </row>
    <row r="33" spans="2:8" x14ac:dyDescent="0.25">
      <c r="B33" s="89" t="s">
        <v>80</v>
      </c>
      <c r="C33" s="89" t="s">
        <v>81</v>
      </c>
      <c r="D33" s="89" t="s">
        <v>34</v>
      </c>
      <c r="E33" s="89" t="s">
        <v>779</v>
      </c>
      <c r="F33" s="89" t="s">
        <v>783</v>
      </c>
      <c r="G33" s="89" t="s">
        <v>904</v>
      </c>
      <c r="H33" s="93" t="s">
        <v>905</v>
      </c>
    </row>
    <row r="34" spans="2:8" x14ac:dyDescent="0.25">
      <c r="B34" s="89" t="s">
        <v>80</v>
      </c>
      <c r="C34" s="89" t="s">
        <v>81</v>
      </c>
      <c r="D34" s="89" t="s">
        <v>34</v>
      </c>
      <c r="E34" s="89" t="s">
        <v>779</v>
      </c>
      <c r="F34" s="89" t="s">
        <v>783</v>
      </c>
      <c r="G34" s="89" t="s">
        <v>906</v>
      </c>
      <c r="H34" s="93" t="s">
        <v>907</v>
      </c>
    </row>
    <row r="35" spans="2:8" x14ac:dyDescent="0.25">
      <c r="B35" s="89" t="s">
        <v>80</v>
      </c>
      <c r="C35" s="89" t="s">
        <v>81</v>
      </c>
      <c r="D35" s="89" t="s">
        <v>34</v>
      </c>
      <c r="E35" s="89" t="s">
        <v>779</v>
      </c>
      <c r="F35" s="89" t="s">
        <v>783</v>
      </c>
      <c r="G35" s="89" t="s">
        <v>908</v>
      </c>
      <c r="H35" s="93" t="s">
        <v>909</v>
      </c>
    </row>
    <row r="36" spans="2:8" x14ac:dyDescent="0.25">
      <c r="B36" s="89" t="s">
        <v>80</v>
      </c>
      <c r="C36" s="89" t="s">
        <v>81</v>
      </c>
      <c r="D36" s="89" t="s">
        <v>34</v>
      </c>
      <c r="E36" s="89" t="s">
        <v>779</v>
      </c>
      <c r="F36" s="89" t="s">
        <v>783</v>
      </c>
      <c r="G36" s="89" t="s">
        <v>910</v>
      </c>
      <c r="H36" s="93" t="s">
        <v>115</v>
      </c>
    </row>
    <row r="37" spans="2:8" x14ac:dyDescent="0.25">
      <c r="B37" s="89" t="s">
        <v>80</v>
      </c>
      <c r="C37" s="89" t="s">
        <v>81</v>
      </c>
      <c r="D37" s="89" t="s">
        <v>34</v>
      </c>
      <c r="E37" s="89" t="s">
        <v>779</v>
      </c>
      <c r="F37" s="89" t="s">
        <v>783</v>
      </c>
      <c r="G37" s="89" t="s">
        <v>911</v>
      </c>
      <c r="H37" s="93" t="s">
        <v>105</v>
      </c>
    </row>
    <row r="38" spans="2:8" x14ac:dyDescent="0.25">
      <c r="B38" s="89" t="s">
        <v>80</v>
      </c>
      <c r="C38" s="89" t="s">
        <v>81</v>
      </c>
      <c r="D38" s="89" t="s">
        <v>34</v>
      </c>
      <c r="E38" s="89" t="s">
        <v>779</v>
      </c>
      <c r="F38" s="89" t="s">
        <v>783</v>
      </c>
      <c r="G38" s="89" t="s">
        <v>912</v>
      </c>
      <c r="H38" s="93" t="s">
        <v>145</v>
      </c>
    </row>
    <row r="39" spans="2:8" x14ac:dyDescent="0.25">
      <c r="B39" s="89" t="s">
        <v>80</v>
      </c>
      <c r="C39" s="89" t="s">
        <v>81</v>
      </c>
      <c r="D39" s="89" t="s">
        <v>34</v>
      </c>
      <c r="E39" s="89" t="s">
        <v>779</v>
      </c>
      <c r="F39" s="89" t="s">
        <v>784</v>
      </c>
      <c r="G39" s="89" t="s">
        <v>913</v>
      </c>
      <c r="H39" s="93" t="s">
        <v>914</v>
      </c>
    </row>
    <row r="40" spans="2:8" x14ac:dyDescent="0.25">
      <c r="B40" s="89" t="s">
        <v>80</v>
      </c>
      <c r="C40" s="89" t="s">
        <v>81</v>
      </c>
      <c r="D40" s="89" t="s">
        <v>34</v>
      </c>
      <c r="E40" s="89" t="s">
        <v>779</v>
      </c>
      <c r="F40" s="89" t="s">
        <v>784</v>
      </c>
      <c r="G40" s="89" t="s">
        <v>915</v>
      </c>
      <c r="H40" s="93" t="s">
        <v>916</v>
      </c>
    </row>
    <row r="41" spans="2:8" x14ac:dyDescent="0.25">
      <c r="B41" s="89" t="s">
        <v>80</v>
      </c>
      <c r="C41" s="89" t="s">
        <v>81</v>
      </c>
      <c r="D41" s="89" t="s">
        <v>34</v>
      </c>
      <c r="E41" s="89" t="s">
        <v>779</v>
      </c>
      <c r="F41" s="89" t="s">
        <v>784</v>
      </c>
      <c r="G41" s="89" t="s">
        <v>917</v>
      </c>
      <c r="H41" s="93" t="s">
        <v>112</v>
      </c>
    </row>
    <row r="42" spans="2:8" x14ac:dyDescent="0.25">
      <c r="B42" s="89" t="s">
        <v>80</v>
      </c>
      <c r="C42" s="89" t="s">
        <v>81</v>
      </c>
      <c r="D42" s="89" t="s">
        <v>34</v>
      </c>
      <c r="E42" s="89" t="s">
        <v>779</v>
      </c>
      <c r="F42" s="89" t="s">
        <v>784</v>
      </c>
      <c r="G42" s="89" t="s">
        <v>918</v>
      </c>
      <c r="H42" s="93" t="s">
        <v>919</v>
      </c>
    </row>
    <row r="43" spans="2:8" x14ac:dyDescent="0.25">
      <c r="B43" s="89" t="s">
        <v>80</v>
      </c>
      <c r="C43" s="89" t="s">
        <v>81</v>
      </c>
      <c r="D43" s="89" t="s">
        <v>34</v>
      </c>
      <c r="E43" s="89" t="s">
        <v>779</v>
      </c>
      <c r="F43" s="89" t="s">
        <v>784</v>
      </c>
      <c r="G43" s="89" t="s">
        <v>920</v>
      </c>
      <c r="H43" s="93" t="s">
        <v>921</v>
      </c>
    </row>
    <row r="44" spans="2:8" x14ac:dyDescent="0.25">
      <c r="B44" s="89" t="s">
        <v>80</v>
      </c>
      <c r="C44" s="89" t="s">
        <v>81</v>
      </c>
      <c r="D44" s="89" t="s">
        <v>34</v>
      </c>
      <c r="E44" s="89" t="s">
        <v>779</v>
      </c>
      <c r="F44" s="89" t="s">
        <v>784</v>
      </c>
      <c r="G44" s="89" t="s">
        <v>922</v>
      </c>
      <c r="H44" s="93" t="s">
        <v>923</v>
      </c>
    </row>
    <row r="45" spans="2:8" x14ac:dyDescent="0.25">
      <c r="B45" s="89" t="s">
        <v>80</v>
      </c>
      <c r="C45" s="89" t="s">
        <v>81</v>
      </c>
      <c r="D45" s="89" t="s">
        <v>34</v>
      </c>
      <c r="E45" s="89" t="s">
        <v>779</v>
      </c>
      <c r="F45" s="89" t="s">
        <v>784</v>
      </c>
      <c r="G45" s="89" t="s">
        <v>924</v>
      </c>
      <c r="H45" s="93" t="s">
        <v>119</v>
      </c>
    </row>
    <row r="46" spans="2:8" x14ac:dyDescent="0.25">
      <c r="B46" s="89" t="s">
        <v>80</v>
      </c>
      <c r="C46" s="89" t="s">
        <v>81</v>
      </c>
      <c r="D46" s="89" t="s">
        <v>34</v>
      </c>
      <c r="E46" s="89" t="s">
        <v>779</v>
      </c>
      <c r="F46" s="89" t="s">
        <v>784</v>
      </c>
      <c r="G46" s="89" t="s">
        <v>925</v>
      </c>
      <c r="H46" s="93" t="s">
        <v>926</v>
      </c>
    </row>
    <row r="47" spans="2:8" x14ac:dyDescent="0.25">
      <c r="B47" s="89" t="s">
        <v>80</v>
      </c>
      <c r="C47" s="89" t="s">
        <v>81</v>
      </c>
      <c r="D47" s="89" t="s">
        <v>34</v>
      </c>
      <c r="E47" s="89" t="s">
        <v>779</v>
      </c>
      <c r="F47" s="89" t="s">
        <v>784</v>
      </c>
      <c r="G47" s="89" t="s">
        <v>927</v>
      </c>
      <c r="H47" s="93" t="s">
        <v>928</v>
      </c>
    </row>
    <row r="48" spans="2:8" x14ac:dyDescent="0.25">
      <c r="B48" s="89" t="s">
        <v>80</v>
      </c>
      <c r="C48" s="89" t="s">
        <v>81</v>
      </c>
      <c r="D48" s="89" t="s">
        <v>34</v>
      </c>
      <c r="E48" s="89" t="s">
        <v>779</v>
      </c>
      <c r="F48" s="89" t="s">
        <v>784</v>
      </c>
      <c r="G48" s="89" t="s">
        <v>929</v>
      </c>
      <c r="H48" s="93" t="s">
        <v>930</v>
      </c>
    </row>
    <row r="49" spans="2:8" x14ac:dyDescent="0.25">
      <c r="B49" s="89" t="s">
        <v>80</v>
      </c>
      <c r="C49" s="89" t="s">
        <v>81</v>
      </c>
      <c r="D49" s="89" t="s">
        <v>34</v>
      </c>
      <c r="E49" s="89" t="s">
        <v>779</v>
      </c>
      <c r="F49" s="89" t="s">
        <v>784</v>
      </c>
      <c r="G49" s="89" t="s">
        <v>931</v>
      </c>
      <c r="H49" s="93" t="s">
        <v>932</v>
      </c>
    </row>
    <row r="50" spans="2:8" x14ac:dyDescent="0.25">
      <c r="B50" s="89" t="s">
        <v>80</v>
      </c>
      <c r="C50" s="89" t="s">
        <v>81</v>
      </c>
      <c r="D50" s="89" t="s">
        <v>34</v>
      </c>
      <c r="E50" s="89" t="s">
        <v>779</v>
      </c>
      <c r="F50" s="89" t="s">
        <v>784</v>
      </c>
      <c r="G50" s="89" t="s">
        <v>933</v>
      </c>
      <c r="H50" s="93" t="s">
        <v>934</v>
      </c>
    </row>
    <row r="51" spans="2:8" x14ac:dyDescent="0.25">
      <c r="B51" s="89" t="s">
        <v>80</v>
      </c>
      <c r="C51" s="89" t="s">
        <v>81</v>
      </c>
      <c r="D51" s="89" t="s">
        <v>34</v>
      </c>
      <c r="E51" s="89" t="s">
        <v>779</v>
      </c>
      <c r="F51" s="89" t="s">
        <v>784</v>
      </c>
      <c r="G51" s="89" t="s">
        <v>935</v>
      </c>
      <c r="H51" s="93" t="s">
        <v>936</v>
      </c>
    </row>
    <row r="52" spans="2:8" x14ac:dyDescent="0.25">
      <c r="B52" s="89" t="s">
        <v>80</v>
      </c>
      <c r="C52" s="89" t="s">
        <v>81</v>
      </c>
      <c r="D52" s="89" t="s">
        <v>34</v>
      </c>
      <c r="E52" s="89" t="s">
        <v>779</v>
      </c>
      <c r="F52" s="89" t="s">
        <v>784</v>
      </c>
      <c r="G52" s="89" t="s">
        <v>937</v>
      </c>
      <c r="H52" s="93" t="s">
        <v>938</v>
      </c>
    </row>
    <row r="53" spans="2:8" x14ac:dyDescent="0.25">
      <c r="B53" s="89" t="s">
        <v>80</v>
      </c>
      <c r="C53" s="89" t="s">
        <v>81</v>
      </c>
      <c r="D53" s="89" t="s">
        <v>34</v>
      </c>
      <c r="E53" s="89" t="s">
        <v>779</v>
      </c>
      <c r="F53" s="89" t="s">
        <v>784</v>
      </c>
      <c r="G53" s="89" t="s">
        <v>123</v>
      </c>
      <c r="H53" s="93" t="s">
        <v>124</v>
      </c>
    </row>
    <row r="54" spans="2:8" x14ac:dyDescent="0.25">
      <c r="B54" s="89" t="s">
        <v>80</v>
      </c>
      <c r="C54" s="89" t="s">
        <v>81</v>
      </c>
      <c r="D54" s="89" t="s">
        <v>34</v>
      </c>
      <c r="E54" s="89" t="s">
        <v>779</v>
      </c>
      <c r="F54" s="89" t="s">
        <v>784</v>
      </c>
      <c r="G54" s="89" t="s">
        <v>939</v>
      </c>
      <c r="H54" s="93" t="s">
        <v>133</v>
      </c>
    </row>
    <row r="55" spans="2:8" x14ac:dyDescent="0.25">
      <c r="B55" s="89" t="s">
        <v>80</v>
      </c>
      <c r="C55" s="89" t="s">
        <v>81</v>
      </c>
      <c r="D55" s="89" t="s">
        <v>34</v>
      </c>
      <c r="E55" s="89" t="s">
        <v>779</v>
      </c>
      <c r="F55" s="89" t="s">
        <v>784</v>
      </c>
      <c r="G55" s="89" t="s">
        <v>940</v>
      </c>
      <c r="H55" s="93" t="s">
        <v>941</v>
      </c>
    </row>
    <row r="56" spans="2:8" x14ac:dyDescent="0.25">
      <c r="B56" s="89" t="s">
        <v>80</v>
      </c>
      <c r="C56" s="89" t="s">
        <v>81</v>
      </c>
      <c r="D56" s="89" t="s">
        <v>34</v>
      </c>
      <c r="E56" s="89" t="s">
        <v>779</v>
      </c>
      <c r="F56" s="89" t="s">
        <v>784</v>
      </c>
      <c r="G56" s="89" t="s">
        <v>942</v>
      </c>
      <c r="H56" s="93" t="s">
        <v>943</v>
      </c>
    </row>
    <row r="57" spans="2:8" x14ac:dyDescent="0.25">
      <c r="B57" s="89" t="s">
        <v>80</v>
      </c>
      <c r="C57" s="89" t="s">
        <v>81</v>
      </c>
      <c r="D57" s="89" t="s">
        <v>34</v>
      </c>
      <c r="E57" s="89" t="s">
        <v>779</v>
      </c>
      <c r="F57" s="89" t="s">
        <v>784</v>
      </c>
      <c r="G57" s="89" t="s">
        <v>944</v>
      </c>
      <c r="H57" s="93" t="s">
        <v>945</v>
      </c>
    </row>
    <row r="58" spans="2:8" x14ac:dyDescent="0.25">
      <c r="B58" s="89" t="s">
        <v>80</v>
      </c>
      <c r="C58" s="89" t="s">
        <v>81</v>
      </c>
      <c r="D58" s="89" t="s">
        <v>34</v>
      </c>
      <c r="E58" s="89" t="s">
        <v>779</v>
      </c>
      <c r="F58" s="89" t="s">
        <v>785</v>
      </c>
      <c r="G58" s="89" t="s">
        <v>946</v>
      </c>
      <c r="H58" s="93" t="s">
        <v>947</v>
      </c>
    </row>
    <row r="59" spans="2:8" x14ac:dyDescent="0.25">
      <c r="B59" s="89" t="s">
        <v>80</v>
      </c>
      <c r="C59" s="89" t="s">
        <v>81</v>
      </c>
      <c r="D59" s="89" t="s">
        <v>34</v>
      </c>
      <c r="E59" s="89" t="s">
        <v>779</v>
      </c>
      <c r="F59" s="89" t="s">
        <v>785</v>
      </c>
      <c r="G59" s="89" t="s">
        <v>948</v>
      </c>
      <c r="H59" s="93" t="s">
        <v>949</v>
      </c>
    </row>
    <row r="60" spans="2:8" x14ac:dyDescent="0.25">
      <c r="B60" s="89" t="s">
        <v>80</v>
      </c>
      <c r="C60" s="89" t="s">
        <v>81</v>
      </c>
      <c r="D60" s="89" t="s">
        <v>34</v>
      </c>
      <c r="E60" s="89" t="s">
        <v>779</v>
      </c>
      <c r="F60" s="89" t="s">
        <v>785</v>
      </c>
      <c r="G60" s="89" t="s">
        <v>950</v>
      </c>
      <c r="H60" s="93" t="s">
        <v>951</v>
      </c>
    </row>
    <row r="61" spans="2:8" x14ac:dyDescent="0.25">
      <c r="B61" s="89" t="s">
        <v>80</v>
      </c>
      <c r="C61" s="89" t="s">
        <v>81</v>
      </c>
      <c r="D61" s="89" t="s">
        <v>34</v>
      </c>
      <c r="E61" s="89" t="s">
        <v>779</v>
      </c>
      <c r="F61" s="89" t="s">
        <v>785</v>
      </c>
      <c r="G61" s="89" t="s">
        <v>952</v>
      </c>
      <c r="H61" s="93" t="s">
        <v>953</v>
      </c>
    </row>
    <row r="62" spans="2:8" x14ac:dyDescent="0.25">
      <c r="B62" s="89" t="s">
        <v>80</v>
      </c>
      <c r="C62" s="89" t="s">
        <v>81</v>
      </c>
      <c r="D62" s="89" t="s">
        <v>34</v>
      </c>
      <c r="E62" s="89" t="s">
        <v>779</v>
      </c>
      <c r="F62" s="89" t="s">
        <v>785</v>
      </c>
      <c r="G62" s="89" t="s">
        <v>954</v>
      </c>
      <c r="H62" s="93" t="s">
        <v>955</v>
      </c>
    </row>
    <row r="63" spans="2:8" x14ac:dyDescent="0.25">
      <c r="B63" s="89" t="s">
        <v>80</v>
      </c>
      <c r="C63" s="89" t="s">
        <v>81</v>
      </c>
      <c r="D63" s="89" t="s">
        <v>34</v>
      </c>
      <c r="E63" s="89" t="s">
        <v>779</v>
      </c>
      <c r="F63" s="89" t="s">
        <v>785</v>
      </c>
      <c r="G63" s="89" t="s">
        <v>956</v>
      </c>
      <c r="H63" s="93" t="s">
        <v>957</v>
      </c>
    </row>
    <row r="64" spans="2:8" x14ac:dyDescent="0.25">
      <c r="B64" s="89" t="s">
        <v>80</v>
      </c>
      <c r="C64" s="89" t="s">
        <v>81</v>
      </c>
      <c r="D64" s="89" t="s">
        <v>34</v>
      </c>
      <c r="E64" s="89" t="s">
        <v>779</v>
      </c>
      <c r="F64" s="89" t="s">
        <v>785</v>
      </c>
      <c r="G64" s="89" t="s">
        <v>958</v>
      </c>
      <c r="H64" s="93" t="s">
        <v>959</v>
      </c>
    </row>
    <row r="65" spans="2:8" x14ac:dyDescent="0.25">
      <c r="B65" s="89" t="s">
        <v>80</v>
      </c>
      <c r="C65" s="89" t="s">
        <v>81</v>
      </c>
      <c r="D65" s="89" t="s">
        <v>34</v>
      </c>
      <c r="E65" s="89" t="s">
        <v>779</v>
      </c>
      <c r="F65" s="89" t="s">
        <v>785</v>
      </c>
      <c r="G65" s="89" t="s">
        <v>960</v>
      </c>
      <c r="H65" s="93" t="s">
        <v>961</v>
      </c>
    </row>
    <row r="66" spans="2:8" x14ac:dyDescent="0.25">
      <c r="B66" s="89" t="s">
        <v>80</v>
      </c>
      <c r="C66" s="89" t="s">
        <v>81</v>
      </c>
      <c r="D66" s="89" t="s">
        <v>34</v>
      </c>
      <c r="E66" s="89" t="s">
        <v>779</v>
      </c>
      <c r="F66" s="89" t="s">
        <v>785</v>
      </c>
      <c r="G66" s="89" t="s">
        <v>962</v>
      </c>
      <c r="H66" s="93" t="s">
        <v>963</v>
      </c>
    </row>
    <row r="67" spans="2:8" x14ac:dyDescent="0.25">
      <c r="B67" s="89" t="s">
        <v>80</v>
      </c>
      <c r="C67" s="89" t="s">
        <v>81</v>
      </c>
      <c r="D67" s="89" t="s">
        <v>34</v>
      </c>
      <c r="E67" s="89" t="s">
        <v>779</v>
      </c>
      <c r="F67" s="89" t="s">
        <v>785</v>
      </c>
      <c r="G67" s="89" t="s">
        <v>964</v>
      </c>
      <c r="H67" s="93" t="s">
        <v>965</v>
      </c>
    </row>
    <row r="68" spans="2:8" x14ac:dyDescent="0.25">
      <c r="B68" s="89" t="s">
        <v>80</v>
      </c>
      <c r="C68" s="89" t="s">
        <v>81</v>
      </c>
      <c r="D68" s="89" t="s">
        <v>34</v>
      </c>
      <c r="E68" s="89" t="s">
        <v>779</v>
      </c>
      <c r="F68" s="89" t="s">
        <v>785</v>
      </c>
      <c r="G68" s="89" t="s">
        <v>966</v>
      </c>
      <c r="H68" s="93" t="s">
        <v>967</v>
      </c>
    </row>
    <row r="69" spans="2:8" x14ac:dyDescent="0.25">
      <c r="B69" s="89" t="s">
        <v>80</v>
      </c>
      <c r="C69" s="89" t="s">
        <v>81</v>
      </c>
      <c r="D69" s="89" t="s">
        <v>34</v>
      </c>
      <c r="E69" s="89" t="s">
        <v>779</v>
      </c>
      <c r="F69" s="89" t="s">
        <v>785</v>
      </c>
      <c r="G69" s="89" t="s">
        <v>968</v>
      </c>
      <c r="H69" s="93" t="s">
        <v>969</v>
      </c>
    </row>
    <row r="70" spans="2:8" x14ac:dyDescent="0.25">
      <c r="B70" s="89" t="s">
        <v>80</v>
      </c>
      <c r="C70" s="89" t="s">
        <v>81</v>
      </c>
      <c r="D70" s="89" t="s">
        <v>34</v>
      </c>
      <c r="E70" s="89" t="s">
        <v>779</v>
      </c>
      <c r="F70" s="89" t="s">
        <v>785</v>
      </c>
      <c r="G70" s="89" t="s">
        <v>970</v>
      </c>
      <c r="H70" s="93" t="s">
        <v>971</v>
      </c>
    </row>
    <row r="71" spans="2:8" x14ac:dyDescent="0.25">
      <c r="B71" s="89" t="s">
        <v>80</v>
      </c>
      <c r="C71" s="89" t="s">
        <v>81</v>
      </c>
      <c r="D71" s="89" t="s">
        <v>34</v>
      </c>
      <c r="E71" s="89" t="s">
        <v>779</v>
      </c>
      <c r="F71" s="89" t="s">
        <v>786</v>
      </c>
      <c r="G71" s="89" t="s">
        <v>148</v>
      </c>
      <c r="H71" s="93" t="s">
        <v>149</v>
      </c>
    </row>
    <row r="72" spans="2:8" x14ac:dyDescent="0.25">
      <c r="B72" s="89" t="s">
        <v>80</v>
      </c>
      <c r="C72" s="89" t="s">
        <v>81</v>
      </c>
      <c r="D72" s="89" t="s">
        <v>34</v>
      </c>
      <c r="E72" s="89" t="s">
        <v>779</v>
      </c>
      <c r="F72" s="89" t="s">
        <v>787</v>
      </c>
      <c r="G72" s="89" t="s">
        <v>140</v>
      </c>
      <c r="H72" s="93" t="s">
        <v>141</v>
      </c>
    </row>
    <row r="73" spans="2:8" x14ac:dyDescent="0.25">
      <c r="B73" s="89" t="s">
        <v>80</v>
      </c>
      <c r="C73" s="89" t="s">
        <v>81</v>
      </c>
      <c r="D73" s="89" t="s">
        <v>34</v>
      </c>
      <c r="E73" s="89" t="s">
        <v>779</v>
      </c>
      <c r="F73" s="89" t="s">
        <v>787</v>
      </c>
      <c r="G73" s="89" t="s">
        <v>142</v>
      </c>
      <c r="H73" s="93" t="s">
        <v>143</v>
      </c>
    </row>
    <row r="74" spans="2:8" x14ac:dyDescent="0.25">
      <c r="B74" s="89" t="s">
        <v>80</v>
      </c>
      <c r="C74" s="89" t="s">
        <v>81</v>
      </c>
      <c r="D74" s="89" t="s">
        <v>34</v>
      </c>
      <c r="E74" s="89" t="s">
        <v>779</v>
      </c>
      <c r="F74" s="89" t="s">
        <v>787</v>
      </c>
      <c r="G74" s="89" t="s">
        <v>138</v>
      </c>
      <c r="H74" s="93" t="s">
        <v>139</v>
      </c>
    </row>
    <row r="75" spans="2:8" x14ac:dyDescent="0.25">
      <c r="B75" s="89" t="s">
        <v>80</v>
      </c>
      <c r="C75" s="89" t="s">
        <v>81</v>
      </c>
      <c r="D75" s="89" t="s">
        <v>34</v>
      </c>
      <c r="E75" s="89" t="s">
        <v>788</v>
      </c>
      <c r="F75" s="89" t="s">
        <v>789</v>
      </c>
      <c r="G75" s="89" t="s">
        <v>972</v>
      </c>
      <c r="H75" s="93" t="s">
        <v>156</v>
      </c>
    </row>
    <row r="76" spans="2:8" x14ac:dyDescent="0.25">
      <c r="B76" s="89" t="s">
        <v>80</v>
      </c>
      <c r="C76" s="89" t="s">
        <v>81</v>
      </c>
      <c r="D76" s="89" t="s">
        <v>34</v>
      </c>
      <c r="E76" s="89" t="s">
        <v>788</v>
      </c>
      <c r="F76" s="89" t="s">
        <v>789</v>
      </c>
      <c r="G76" s="89" t="s">
        <v>153</v>
      </c>
      <c r="H76" s="93" t="s">
        <v>154</v>
      </c>
    </row>
    <row r="77" spans="2:8" x14ac:dyDescent="0.25">
      <c r="B77" s="89" t="s">
        <v>80</v>
      </c>
      <c r="C77" s="89" t="s">
        <v>81</v>
      </c>
      <c r="D77" s="89" t="s">
        <v>34</v>
      </c>
      <c r="E77" s="89" t="s">
        <v>788</v>
      </c>
      <c r="F77" s="89" t="s">
        <v>789</v>
      </c>
      <c r="G77" s="89" t="s">
        <v>973</v>
      </c>
      <c r="H77" s="93" t="s">
        <v>974</v>
      </c>
    </row>
    <row r="78" spans="2:8" x14ac:dyDescent="0.25">
      <c r="B78" s="89" t="s">
        <v>80</v>
      </c>
      <c r="C78" s="89" t="s">
        <v>81</v>
      </c>
      <c r="D78" s="89" t="s">
        <v>34</v>
      </c>
      <c r="E78" s="89" t="s">
        <v>788</v>
      </c>
      <c r="F78" s="89" t="s">
        <v>790</v>
      </c>
      <c r="G78" s="89" t="s">
        <v>165</v>
      </c>
      <c r="H78" s="93" t="s">
        <v>166</v>
      </c>
    </row>
    <row r="79" spans="2:8" x14ac:dyDescent="0.25">
      <c r="B79" s="89" t="s">
        <v>80</v>
      </c>
      <c r="C79" s="89" t="s">
        <v>81</v>
      </c>
      <c r="D79" s="89" t="s">
        <v>34</v>
      </c>
      <c r="E79" s="89" t="s">
        <v>788</v>
      </c>
      <c r="F79" s="89" t="s">
        <v>790</v>
      </c>
      <c r="G79" s="89" t="s">
        <v>169</v>
      </c>
      <c r="H79" s="93" t="s">
        <v>170</v>
      </c>
    </row>
    <row r="80" spans="2:8" x14ac:dyDescent="0.25">
      <c r="B80" s="89" t="s">
        <v>80</v>
      </c>
      <c r="C80" s="89" t="s">
        <v>81</v>
      </c>
      <c r="D80" s="89" t="s">
        <v>34</v>
      </c>
      <c r="E80" s="89" t="s">
        <v>788</v>
      </c>
      <c r="F80" s="89" t="s">
        <v>790</v>
      </c>
      <c r="G80" s="89" t="s">
        <v>975</v>
      </c>
      <c r="H80" s="93" t="s">
        <v>174</v>
      </c>
    </row>
    <row r="81" spans="2:8" x14ac:dyDescent="0.25">
      <c r="B81" s="89" t="s">
        <v>80</v>
      </c>
      <c r="C81" s="89" t="s">
        <v>81</v>
      </c>
      <c r="D81" s="89" t="s">
        <v>34</v>
      </c>
      <c r="E81" s="89" t="s">
        <v>788</v>
      </c>
      <c r="F81" s="89" t="s">
        <v>791</v>
      </c>
      <c r="G81" s="89" t="s">
        <v>181</v>
      </c>
      <c r="H81" s="93" t="s">
        <v>182</v>
      </c>
    </row>
    <row r="82" spans="2:8" x14ac:dyDescent="0.25">
      <c r="B82" s="89" t="s">
        <v>80</v>
      </c>
      <c r="C82" s="89" t="s">
        <v>81</v>
      </c>
      <c r="D82" s="89" t="s">
        <v>34</v>
      </c>
      <c r="E82" s="89" t="s">
        <v>788</v>
      </c>
      <c r="F82" s="89" t="s">
        <v>791</v>
      </c>
      <c r="G82" s="89" t="s">
        <v>976</v>
      </c>
      <c r="H82" s="93" t="s">
        <v>977</v>
      </c>
    </row>
    <row r="83" spans="2:8" x14ac:dyDescent="0.25">
      <c r="B83" s="89" t="s">
        <v>80</v>
      </c>
      <c r="C83" s="89" t="s">
        <v>81</v>
      </c>
      <c r="D83" s="89" t="s">
        <v>34</v>
      </c>
      <c r="E83" s="89" t="s">
        <v>788</v>
      </c>
      <c r="F83" s="89" t="s">
        <v>792</v>
      </c>
      <c r="G83" s="89" t="s">
        <v>978</v>
      </c>
      <c r="H83" s="93" t="s">
        <v>979</v>
      </c>
    </row>
    <row r="84" spans="2:8" x14ac:dyDescent="0.25">
      <c r="B84" s="89" t="s">
        <v>80</v>
      </c>
      <c r="C84" s="89" t="s">
        <v>81</v>
      </c>
      <c r="D84" s="89" t="s">
        <v>34</v>
      </c>
      <c r="E84" s="89" t="s">
        <v>788</v>
      </c>
      <c r="F84" s="89" t="s">
        <v>792</v>
      </c>
      <c r="G84" s="89" t="s">
        <v>980</v>
      </c>
      <c r="H84" s="93" t="s">
        <v>981</v>
      </c>
    </row>
    <row r="85" spans="2:8" x14ac:dyDescent="0.25">
      <c r="B85" s="89" t="s">
        <v>80</v>
      </c>
      <c r="C85" s="89" t="s">
        <v>81</v>
      </c>
      <c r="D85" s="89" t="s">
        <v>34</v>
      </c>
      <c r="E85" s="89" t="s">
        <v>788</v>
      </c>
      <c r="F85" s="89" t="s">
        <v>792</v>
      </c>
      <c r="G85" s="89" t="s">
        <v>982</v>
      </c>
      <c r="H85" s="93" t="s">
        <v>983</v>
      </c>
    </row>
    <row r="86" spans="2:8" x14ac:dyDescent="0.25">
      <c r="B86" s="89" t="s">
        <v>80</v>
      </c>
      <c r="C86" s="89" t="s">
        <v>81</v>
      </c>
      <c r="D86" s="89" t="s">
        <v>34</v>
      </c>
      <c r="E86" s="89" t="s">
        <v>788</v>
      </c>
      <c r="F86" s="89" t="s">
        <v>792</v>
      </c>
      <c r="G86" s="89" t="s">
        <v>984</v>
      </c>
      <c r="H86" s="93" t="s">
        <v>985</v>
      </c>
    </row>
    <row r="87" spans="2:8" x14ac:dyDescent="0.25">
      <c r="B87" s="89" t="s">
        <v>80</v>
      </c>
      <c r="C87" s="89" t="s">
        <v>81</v>
      </c>
      <c r="D87" s="89" t="s">
        <v>34</v>
      </c>
      <c r="E87" s="89" t="s">
        <v>788</v>
      </c>
      <c r="F87" s="89" t="s">
        <v>792</v>
      </c>
      <c r="G87" s="89" t="s">
        <v>986</v>
      </c>
      <c r="H87" s="93" t="s">
        <v>987</v>
      </c>
    </row>
    <row r="88" spans="2:8" x14ac:dyDescent="0.25">
      <c r="B88" s="89" t="s">
        <v>80</v>
      </c>
      <c r="C88" s="89" t="s">
        <v>81</v>
      </c>
      <c r="D88" s="89" t="s">
        <v>34</v>
      </c>
      <c r="E88" s="89" t="s">
        <v>788</v>
      </c>
      <c r="F88" s="89" t="s">
        <v>792</v>
      </c>
      <c r="G88" s="89" t="s">
        <v>988</v>
      </c>
      <c r="H88" s="93" t="s">
        <v>989</v>
      </c>
    </row>
    <row r="89" spans="2:8" x14ac:dyDescent="0.25">
      <c r="B89" s="89" t="s">
        <v>80</v>
      </c>
      <c r="C89" s="89" t="s">
        <v>81</v>
      </c>
      <c r="D89" s="89" t="s">
        <v>34</v>
      </c>
      <c r="E89" s="89" t="s">
        <v>788</v>
      </c>
      <c r="F89" s="89" t="s">
        <v>792</v>
      </c>
      <c r="G89" s="89" t="s">
        <v>185</v>
      </c>
      <c r="H89" s="93" t="s">
        <v>186</v>
      </c>
    </row>
    <row r="90" spans="2:8" x14ac:dyDescent="0.25">
      <c r="B90" s="89" t="s">
        <v>80</v>
      </c>
      <c r="C90" s="89" t="s">
        <v>81</v>
      </c>
      <c r="D90" s="89" t="s">
        <v>34</v>
      </c>
      <c r="E90" s="89" t="s">
        <v>788</v>
      </c>
      <c r="F90" s="89" t="s">
        <v>792</v>
      </c>
      <c r="G90" s="89" t="s">
        <v>990</v>
      </c>
      <c r="H90" s="93" t="s">
        <v>991</v>
      </c>
    </row>
    <row r="91" spans="2:8" x14ac:dyDescent="0.25">
      <c r="B91" s="89" t="s">
        <v>80</v>
      </c>
      <c r="C91" s="89" t="s">
        <v>81</v>
      </c>
      <c r="D91" s="89" t="s">
        <v>34</v>
      </c>
      <c r="E91" s="89" t="s">
        <v>788</v>
      </c>
      <c r="F91" s="89" t="s">
        <v>792</v>
      </c>
      <c r="G91" s="89" t="s">
        <v>992</v>
      </c>
      <c r="H91" s="93" t="s">
        <v>993</v>
      </c>
    </row>
    <row r="92" spans="2:8" x14ac:dyDescent="0.25">
      <c r="B92" s="89" t="s">
        <v>80</v>
      </c>
      <c r="C92" s="89" t="s">
        <v>81</v>
      </c>
      <c r="D92" s="89" t="s">
        <v>34</v>
      </c>
      <c r="E92" s="89" t="s">
        <v>788</v>
      </c>
      <c r="F92" s="89" t="s">
        <v>792</v>
      </c>
      <c r="G92" s="89" t="s">
        <v>994</v>
      </c>
      <c r="H92" s="93" t="s">
        <v>995</v>
      </c>
    </row>
    <row r="93" spans="2:8" x14ac:dyDescent="0.25">
      <c r="B93" s="89" t="s">
        <v>80</v>
      </c>
      <c r="C93" s="89" t="s">
        <v>81</v>
      </c>
      <c r="D93" s="89" t="s">
        <v>34</v>
      </c>
      <c r="E93" s="89" t="s">
        <v>788</v>
      </c>
      <c r="F93" s="89" t="s">
        <v>792</v>
      </c>
      <c r="G93" s="89" t="s">
        <v>161</v>
      </c>
      <c r="H93" s="93" t="s">
        <v>162</v>
      </c>
    </row>
    <row r="94" spans="2:8" x14ac:dyDescent="0.25">
      <c r="B94" s="89" t="s">
        <v>80</v>
      </c>
      <c r="C94" s="89" t="s">
        <v>81</v>
      </c>
      <c r="D94" s="89" t="s">
        <v>34</v>
      </c>
      <c r="E94" s="89" t="s">
        <v>788</v>
      </c>
      <c r="F94" s="89" t="s">
        <v>792</v>
      </c>
      <c r="G94" s="89" t="s">
        <v>996</v>
      </c>
      <c r="H94" s="93" t="s">
        <v>997</v>
      </c>
    </row>
    <row r="95" spans="2:8" x14ac:dyDescent="0.25">
      <c r="B95" s="89" t="s">
        <v>80</v>
      </c>
      <c r="C95" s="89" t="s">
        <v>81</v>
      </c>
      <c r="D95" s="89" t="s">
        <v>34</v>
      </c>
      <c r="E95" s="89" t="s">
        <v>788</v>
      </c>
      <c r="F95" s="89" t="s">
        <v>792</v>
      </c>
      <c r="G95" s="89" t="s">
        <v>998</v>
      </c>
      <c r="H95" s="93" t="s">
        <v>999</v>
      </c>
    </row>
    <row r="96" spans="2:8" x14ac:dyDescent="0.25">
      <c r="B96" s="89" t="s">
        <v>80</v>
      </c>
      <c r="C96" s="89" t="s">
        <v>81</v>
      </c>
      <c r="D96" s="89" t="s">
        <v>34</v>
      </c>
      <c r="E96" s="89" t="s">
        <v>788</v>
      </c>
      <c r="F96" s="89" t="s">
        <v>792</v>
      </c>
      <c r="G96" s="89" t="s">
        <v>1000</v>
      </c>
      <c r="H96" s="93" t="s">
        <v>1001</v>
      </c>
    </row>
    <row r="97" spans="2:8" x14ac:dyDescent="0.25">
      <c r="B97" s="89" t="s">
        <v>80</v>
      </c>
      <c r="C97" s="89" t="s">
        <v>81</v>
      </c>
      <c r="D97" s="89" t="s">
        <v>34</v>
      </c>
      <c r="E97" s="89" t="s">
        <v>788</v>
      </c>
      <c r="F97" s="89" t="s">
        <v>792</v>
      </c>
      <c r="G97" s="89" t="s">
        <v>1002</v>
      </c>
      <c r="H97" s="93" t="s">
        <v>184</v>
      </c>
    </row>
    <row r="98" spans="2:8" x14ac:dyDescent="0.25">
      <c r="B98" s="89" t="s">
        <v>80</v>
      </c>
      <c r="C98" s="89" t="s">
        <v>81</v>
      </c>
      <c r="D98" s="89" t="s">
        <v>34</v>
      </c>
      <c r="E98" s="89" t="s">
        <v>788</v>
      </c>
      <c r="F98" s="89" t="s">
        <v>792</v>
      </c>
      <c r="G98" s="89" t="s">
        <v>1003</v>
      </c>
      <c r="H98" s="93" t="s">
        <v>1004</v>
      </c>
    </row>
    <row r="99" spans="2:8" x14ac:dyDescent="0.25">
      <c r="B99" s="89" t="s">
        <v>80</v>
      </c>
      <c r="C99" s="89" t="s">
        <v>81</v>
      </c>
      <c r="D99" s="89" t="s">
        <v>34</v>
      </c>
      <c r="E99" s="89" t="s">
        <v>788</v>
      </c>
      <c r="F99" s="89" t="s">
        <v>793</v>
      </c>
      <c r="G99" s="89" t="s">
        <v>167</v>
      </c>
      <c r="H99" s="93" t="s">
        <v>168</v>
      </c>
    </row>
    <row r="100" spans="2:8" x14ac:dyDescent="0.25">
      <c r="B100" s="89" t="s">
        <v>80</v>
      </c>
      <c r="C100" s="89" t="s">
        <v>81</v>
      </c>
      <c r="D100" s="89" t="s">
        <v>34</v>
      </c>
      <c r="E100" s="89" t="s">
        <v>788</v>
      </c>
      <c r="F100" s="89" t="s">
        <v>793</v>
      </c>
      <c r="G100" s="89" t="s">
        <v>163</v>
      </c>
      <c r="H100" s="93" t="s">
        <v>164</v>
      </c>
    </row>
    <row r="101" spans="2:8" x14ac:dyDescent="0.25">
      <c r="B101" s="89" t="s">
        <v>80</v>
      </c>
      <c r="C101" s="89" t="s">
        <v>81</v>
      </c>
      <c r="D101" s="89" t="s">
        <v>34</v>
      </c>
      <c r="E101" s="89" t="s">
        <v>788</v>
      </c>
      <c r="F101" s="89" t="s">
        <v>793</v>
      </c>
      <c r="G101" s="89" t="s">
        <v>1005</v>
      </c>
      <c r="H101" s="93" t="s">
        <v>172</v>
      </c>
    </row>
    <row r="102" spans="2:8" x14ac:dyDescent="0.25">
      <c r="B102" s="89" t="s">
        <v>80</v>
      </c>
      <c r="C102" s="89" t="s">
        <v>81</v>
      </c>
      <c r="D102" s="89" t="s">
        <v>34</v>
      </c>
      <c r="E102" s="89" t="s">
        <v>788</v>
      </c>
      <c r="F102" s="89" t="s">
        <v>794</v>
      </c>
      <c r="G102" s="89" t="s">
        <v>1006</v>
      </c>
      <c r="H102" s="93" t="s">
        <v>1007</v>
      </c>
    </row>
    <row r="103" spans="2:8" x14ac:dyDescent="0.25">
      <c r="B103" s="89" t="s">
        <v>80</v>
      </c>
      <c r="C103" s="89" t="s">
        <v>81</v>
      </c>
      <c r="D103" s="89" t="s">
        <v>34</v>
      </c>
      <c r="E103" s="89" t="s">
        <v>788</v>
      </c>
      <c r="F103" s="89" t="s">
        <v>794</v>
      </c>
      <c r="G103" s="89" t="s">
        <v>187</v>
      </c>
      <c r="H103" s="93" t="s">
        <v>188</v>
      </c>
    </row>
    <row r="104" spans="2:8" x14ac:dyDescent="0.25">
      <c r="B104" s="89" t="s">
        <v>80</v>
      </c>
      <c r="C104" s="89" t="s">
        <v>81</v>
      </c>
      <c r="D104" s="89" t="s">
        <v>34</v>
      </c>
      <c r="E104" s="89" t="s">
        <v>788</v>
      </c>
      <c r="F104" s="89" t="s">
        <v>794</v>
      </c>
      <c r="G104" s="89" t="s">
        <v>1008</v>
      </c>
      <c r="H104" s="93" t="s">
        <v>160</v>
      </c>
    </row>
    <row r="105" spans="2:8" x14ac:dyDescent="0.25">
      <c r="B105" s="89" t="s">
        <v>80</v>
      </c>
      <c r="C105" s="89" t="s">
        <v>81</v>
      </c>
      <c r="D105" s="89" t="s">
        <v>34</v>
      </c>
      <c r="E105" s="89" t="s">
        <v>788</v>
      </c>
      <c r="F105" s="89" t="s">
        <v>794</v>
      </c>
      <c r="G105" s="89" t="s">
        <v>1009</v>
      </c>
      <c r="H105" s="93" t="s">
        <v>180</v>
      </c>
    </row>
    <row r="106" spans="2:8" x14ac:dyDescent="0.25">
      <c r="B106" s="89" t="s">
        <v>80</v>
      </c>
      <c r="C106" s="89" t="s">
        <v>81</v>
      </c>
      <c r="D106" s="89" t="s">
        <v>34</v>
      </c>
      <c r="E106" s="89" t="s">
        <v>788</v>
      </c>
      <c r="F106" s="89" t="s">
        <v>794</v>
      </c>
      <c r="G106" s="89" t="s">
        <v>1010</v>
      </c>
      <c r="H106" s="93" t="s">
        <v>1011</v>
      </c>
    </row>
    <row r="107" spans="2:8" x14ac:dyDescent="0.25">
      <c r="B107" s="89" t="s">
        <v>80</v>
      </c>
      <c r="C107" s="89" t="s">
        <v>81</v>
      </c>
      <c r="D107" s="89" t="s">
        <v>34</v>
      </c>
      <c r="E107" s="89" t="s">
        <v>788</v>
      </c>
      <c r="F107" s="89" t="s">
        <v>794</v>
      </c>
      <c r="G107" s="89" t="s">
        <v>1012</v>
      </c>
      <c r="H107" s="93" t="s">
        <v>1013</v>
      </c>
    </row>
    <row r="108" spans="2:8" x14ac:dyDescent="0.25">
      <c r="B108" s="89" t="s">
        <v>80</v>
      </c>
      <c r="C108" s="89" t="s">
        <v>81</v>
      </c>
      <c r="D108" s="89" t="s">
        <v>34</v>
      </c>
      <c r="E108" s="89" t="s">
        <v>788</v>
      </c>
      <c r="F108" s="89" t="s">
        <v>795</v>
      </c>
      <c r="G108" s="89" t="s">
        <v>195</v>
      </c>
      <c r="H108" s="93" t="s">
        <v>196</v>
      </c>
    </row>
    <row r="109" spans="2:8" x14ac:dyDescent="0.25">
      <c r="B109" s="89" t="s">
        <v>80</v>
      </c>
      <c r="C109" s="89" t="s">
        <v>81</v>
      </c>
      <c r="D109" s="89" t="s">
        <v>34</v>
      </c>
      <c r="E109" s="89" t="s">
        <v>788</v>
      </c>
      <c r="F109" s="89" t="s">
        <v>795</v>
      </c>
      <c r="G109" s="89" t="s">
        <v>1014</v>
      </c>
      <c r="H109" s="93" t="s">
        <v>1015</v>
      </c>
    </row>
    <row r="110" spans="2:8" x14ac:dyDescent="0.25">
      <c r="B110" s="89" t="s">
        <v>80</v>
      </c>
      <c r="C110" s="89" t="s">
        <v>81</v>
      </c>
      <c r="D110" s="89" t="s">
        <v>34</v>
      </c>
      <c r="E110" s="89" t="s">
        <v>788</v>
      </c>
      <c r="F110" s="89" t="s">
        <v>795</v>
      </c>
      <c r="G110" s="89" t="s">
        <v>1016</v>
      </c>
      <c r="H110" s="93" t="s">
        <v>1017</v>
      </c>
    </row>
    <row r="111" spans="2:8" x14ac:dyDescent="0.25">
      <c r="B111" s="89" t="s">
        <v>80</v>
      </c>
      <c r="C111" s="89" t="s">
        <v>81</v>
      </c>
      <c r="D111" s="89" t="s">
        <v>34</v>
      </c>
      <c r="E111" s="89" t="s">
        <v>788</v>
      </c>
      <c r="F111" s="89" t="s">
        <v>795</v>
      </c>
      <c r="G111" s="89" t="s">
        <v>1018</v>
      </c>
      <c r="H111" s="93" t="s">
        <v>1019</v>
      </c>
    </row>
    <row r="112" spans="2:8" x14ac:dyDescent="0.25">
      <c r="B112" s="89" t="s">
        <v>80</v>
      </c>
      <c r="C112" s="89" t="s">
        <v>81</v>
      </c>
      <c r="D112" s="89" t="s">
        <v>34</v>
      </c>
      <c r="E112" s="89" t="s">
        <v>788</v>
      </c>
      <c r="F112" s="89" t="s">
        <v>796</v>
      </c>
      <c r="G112" s="89" t="s">
        <v>1020</v>
      </c>
      <c r="H112" s="93" t="s">
        <v>194</v>
      </c>
    </row>
    <row r="113" spans="2:8" x14ac:dyDescent="0.25">
      <c r="B113" s="89" t="s">
        <v>80</v>
      </c>
      <c r="C113" s="89" t="s">
        <v>81</v>
      </c>
      <c r="D113" s="89" t="s">
        <v>34</v>
      </c>
      <c r="E113" s="89" t="s">
        <v>788</v>
      </c>
      <c r="F113" s="89" t="s">
        <v>796</v>
      </c>
      <c r="G113" s="89" t="s">
        <v>1021</v>
      </c>
      <c r="H113" s="93" t="s">
        <v>192</v>
      </c>
    </row>
    <row r="114" spans="2:8" x14ac:dyDescent="0.25">
      <c r="B114" s="89" t="s">
        <v>80</v>
      </c>
      <c r="C114" s="89" t="s">
        <v>81</v>
      </c>
      <c r="D114" s="89" t="s">
        <v>34</v>
      </c>
      <c r="E114" s="89" t="s">
        <v>797</v>
      </c>
      <c r="F114" s="89" t="s">
        <v>798</v>
      </c>
      <c r="G114" s="89" t="s">
        <v>1022</v>
      </c>
      <c r="H114" s="93" t="s">
        <v>202</v>
      </c>
    </row>
    <row r="115" spans="2:8" x14ac:dyDescent="0.25">
      <c r="B115" s="89" t="s">
        <v>80</v>
      </c>
      <c r="C115" s="89" t="s">
        <v>81</v>
      </c>
      <c r="D115" s="89" t="s">
        <v>34</v>
      </c>
      <c r="E115" s="89" t="s">
        <v>797</v>
      </c>
      <c r="F115" s="89" t="s">
        <v>798</v>
      </c>
      <c r="G115" s="89" t="s">
        <v>1023</v>
      </c>
      <c r="H115" s="93" t="s">
        <v>1024</v>
      </c>
    </row>
    <row r="116" spans="2:8" x14ac:dyDescent="0.25">
      <c r="B116" s="89" t="s">
        <v>80</v>
      </c>
      <c r="C116" s="89" t="s">
        <v>81</v>
      </c>
      <c r="D116" s="89" t="s">
        <v>34</v>
      </c>
      <c r="E116" s="89" t="s">
        <v>797</v>
      </c>
      <c r="F116" s="89" t="s">
        <v>798</v>
      </c>
      <c r="G116" s="89" t="s">
        <v>1025</v>
      </c>
      <c r="H116" s="93" t="s">
        <v>1026</v>
      </c>
    </row>
    <row r="117" spans="2:8" x14ac:dyDescent="0.25">
      <c r="B117" s="89" t="s">
        <v>80</v>
      </c>
      <c r="C117" s="89" t="s">
        <v>81</v>
      </c>
      <c r="D117" s="89" t="s">
        <v>34</v>
      </c>
      <c r="E117" s="89" t="s">
        <v>797</v>
      </c>
      <c r="F117" s="89" t="s">
        <v>798</v>
      </c>
      <c r="G117" s="89" t="s">
        <v>1027</v>
      </c>
      <c r="H117" s="93" t="s">
        <v>1028</v>
      </c>
    </row>
    <row r="118" spans="2:8" x14ac:dyDescent="0.25">
      <c r="B118" s="89" t="s">
        <v>80</v>
      </c>
      <c r="C118" s="89" t="s">
        <v>81</v>
      </c>
      <c r="D118" s="89" t="s">
        <v>34</v>
      </c>
      <c r="E118" s="89" t="s">
        <v>797</v>
      </c>
      <c r="F118" s="89" t="s">
        <v>798</v>
      </c>
      <c r="G118" s="89" t="s">
        <v>1029</v>
      </c>
      <c r="H118" s="93" t="s">
        <v>1030</v>
      </c>
    </row>
    <row r="119" spans="2:8" x14ac:dyDescent="0.25">
      <c r="B119" s="89" t="s">
        <v>80</v>
      </c>
      <c r="C119" s="89" t="s">
        <v>81</v>
      </c>
      <c r="D119" s="89" t="s">
        <v>34</v>
      </c>
      <c r="E119" s="89" t="s">
        <v>797</v>
      </c>
      <c r="F119" s="89" t="s">
        <v>798</v>
      </c>
      <c r="G119" s="89" t="s">
        <v>1031</v>
      </c>
      <c r="H119" s="93" t="s">
        <v>1032</v>
      </c>
    </row>
    <row r="120" spans="2:8" x14ac:dyDescent="0.25">
      <c r="B120" s="89" t="s">
        <v>80</v>
      </c>
      <c r="C120" s="89" t="s">
        <v>81</v>
      </c>
      <c r="D120" s="89" t="s">
        <v>34</v>
      </c>
      <c r="E120" s="89" t="s">
        <v>797</v>
      </c>
      <c r="F120" s="89" t="s">
        <v>798</v>
      </c>
      <c r="G120" s="89" t="s">
        <v>1033</v>
      </c>
      <c r="H120" s="93" t="s">
        <v>1034</v>
      </c>
    </row>
    <row r="121" spans="2:8" x14ac:dyDescent="0.25">
      <c r="B121" s="89" t="s">
        <v>80</v>
      </c>
      <c r="C121" s="89" t="s">
        <v>81</v>
      </c>
      <c r="D121" s="89" t="s">
        <v>34</v>
      </c>
      <c r="E121" s="89" t="s">
        <v>797</v>
      </c>
      <c r="F121" s="89" t="s">
        <v>798</v>
      </c>
      <c r="G121" s="89" t="s">
        <v>1035</v>
      </c>
      <c r="H121" s="93" t="s">
        <v>1036</v>
      </c>
    </row>
    <row r="122" spans="2:8" x14ac:dyDescent="0.25">
      <c r="B122" s="89" t="s">
        <v>80</v>
      </c>
      <c r="C122" s="89" t="s">
        <v>81</v>
      </c>
      <c r="D122" s="89" t="s">
        <v>34</v>
      </c>
      <c r="E122" s="89" t="s">
        <v>797</v>
      </c>
      <c r="F122" s="89" t="s">
        <v>798</v>
      </c>
      <c r="G122" s="89" t="s">
        <v>1037</v>
      </c>
      <c r="H122" s="93" t="s">
        <v>1038</v>
      </c>
    </row>
    <row r="123" spans="2:8" x14ac:dyDescent="0.25">
      <c r="B123" s="89" t="s">
        <v>80</v>
      </c>
      <c r="C123" s="89" t="s">
        <v>81</v>
      </c>
      <c r="D123" s="89" t="s">
        <v>34</v>
      </c>
      <c r="E123" s="89" t="s">
        <v>797</v>
      </c>
      <c r="F123" s="89" t="s">
        <v>799</v>
      </c>
      <c r="G123" s="89" t="s">
        <v>198</v>
      </c>
      <c r="H123" s="93" t="s">
        <v>199</v>
      </c>
    </row>
    <row r="124" spans="2:8" x14ac:dyDescent="0.25">
      <c r="B124" s="89" t="s">
        <v>80</v>
      </c>
      <c r="C124" s="89" t="s">
        <v>81</v>
      </c>
      <c r="D124" s="89" t="s">
        <v>34</v>
      </c>
      <c r="E124" s="89" t="s">
        <v>797</v>
      </c>
      <c r="F124" s="89" t="s">
        <v>799</v>
      </c>
      <c r="G124" s="89" t="s">
        <v>1039</v>
      </c>
      <c r="H124" s="93" t="s">
        <v>1040</v>
      </c>
    </row>
    <row r="125" spans="2:8" x14ac:dyDescent="0.25">
      <c r="B125" s="89" t="s">
        <v>80</v>
      </c>
      <c r="C125" s="89" t="s">
        <v>81</v>
      </c>
      <c r="D125" s="89" t="s">
        <v>34</v>
      </c>
      <c r="E125" s="89" t="s">
        <v>797</v>
      </c>
      <c r="F125" s="89" t="s">
        <v>799</v>
      </c>
      <c r="G125" s="89" t="s">
        <v>1041</v>
      </c>
      <c r="H125" s="93" t="s">
        <v>1042</v>
      </c>
    </row>
    <row r="126" spans="2:8" x14ac:dyDescent="0.25">
      <c r="B126" s="89" t="s">
        <v>80</v>
      </c>
      <c r="C126" s="89" t="s">
        <v>81</v>
      </c>
      <c r="D126" s="89" t="s">
        <v>34</v>
      </c>
      <c r="E126" s="89" t="s">
        <v>797</v>
      </c>
      <c r="F126" s="89" t="s">
        <v>800</v>
      </c>
      <c r="G126" s="89" t="s">
        <v>204</v>
      </c>
      <c r="H126" s="93" t="s">
        <v>205</v>
      </c>
    </row>
    <row r="127" spans="2:8" x14ac:dyDescent="0.25">
      <c r="B127" s="89" t="s">
        <v>80</v>
      </c>
      <c r="C127" s="89" t="s">
        <v>81</v>
      </c>
      <c r="D127" s="89" t="s">
        <v>34</v>
      </c>
      <c r="E127" s="89" t="s">
        <v>797</v>
      </c>
      <c r="F127" s="89" t="s">
        <v>800</v>
      </c>
      <c r="G127" s="89" t="s">
        <v>206</v>
      </c>
      <c r="H127" s="93" t="s">
        <v>207</v>
      </c>
    </row>
    <row r="128" spans="2:8" x14ac:dyDescent="0.25">
      <c r="B128" s="89" t="s">
        <v>80</v>
      </c>
      <c r="C128" s="89" t="s">
        <v>81</v>
      </c>
      <c r="D128" s="89" t="s">
        <v>34</v>
      </c>
      <c r="E128" s="89" t="s">
        <v>797</v>
      </c>
      <c r="F128" s="89" t="s">
        <v>801</v>
      </c>
      <c r="G128" s="89" t="s">
        <v>1043</v>
      </c>
      <c r="H128" s="93" t="s">
        <v>1044</v>
      </c>
    </row>
    <row r="129" spans="2:8" x14ac:dyDescent="0.25">
      <c r="B129" s="89" t="s">
        <v>80</v>
      </c>
      <c r="C129" s="89" t="s">
        <v>81</v>
      </c>
      <c r="D129" s="89" t="s">
        <v>34</v>
      </c>
      <c r="E129" s="89" t="s">
        <v>797</v>
      </c>
      <c r="F129" s="89" t="s">
        <v>801</v>
      </c>
      <c r="G129" s="89" t="s">
        <v>1045</v>
      </c>
      <c r="H129" s="93" t="s">
        <v>1046</v>
      </c>
    </row>
    <row r="130" spans="2:8" x14ac:dyDescent="0.25">
      <c r="B130" s="89" t="s">
        <v>80</v>
      </c>
      <c r="C130" s="89" t="s">
        <v>81</v>
      </c>
      <c r="D130" s="89" t="s">
        <v>34</v>
      </c>
      <c r="E130" s="89" t="s">
        <v>797</v>
      </c>
      <c r="F130" s="89" t="s">
        <v>801</v>
      </c>
      <c r="G130" s="89" t="s">
        <v>1047</v>
      </c>
      <c r="H130" s="93" t="s">
        <v>1048</v>
      </c>
    </row>
    <row r="131" spans="2:8" x14ac:dyDescent="0.25">
      <c r="B131" s="89" t="s">
        <v>80</v>
      </c>
      <c r="C131" s="89" t="s">
        <v>81</v>
      </c>
      <c r="D131" s="89" t="s">
        <v>34</v>
      </c>
      <c r="E131" s="89" t="s">
        <v>797</v>
      </c>
      <c r="F131" s="89" t="s">
        <v>801</v>
      </c>
      <c r="G131" s="89" t="s">
        <v>1049</v>
      </c>
      <c r="H131" s="93" t="s">
        <v>1050</v>
      </c>
    </row>
    <row r="132" spans="2:8" x14ac:dyDescent="0.25">
      <c r="B132" s="89" t="s">
        <v>80</v>
      </c>
      <c r="C132" s="89" t="s">
        <v>81</v>
      </c>
      <c r="D132" s="89" t="s">
        <v>34</v>
      </c>
      <c r="E132" s="89" t="s">
        <v>797</v>
      </c>
      <c r="F132" s="89" t="s">
        <v>801</v>
      </c>
      <c r="G132" s="89" t="s">
        <v>1051</v>
      </c>
      <c r="H132" s="93" t="s">
        <v>1052</v>
      </c>
    </row>
    <row r="133" spans="2:8" x14ac:dyDescent="0.25">
      <c r="B133" s="89" t="s">
        <v>80</v>
      </c>
      <c r="C133" s="89" t="s">
        <v>81</v>
      </c>
      <c r="D133" s="89" t="s">
        <v>34</v>
      </c>
      <c r="E133" s="89" t="s">
        <v>797</v>
      </c>
      <c r="F133" s="89" t="s">
        <v>801</v>
      </c>
      <c r="G133" s="89" t="s">
        <v>1053</v>
      </c>
      <c r="H133" s="93" t="s">
        <v>1054</v>
      </c>
    </row>
    <row r="134" spans="2:8" x14ac:dyDescent="0.25">
      <c r="B134" s="89" t="s">
        <v>80</v>
      </c>
      <c r="C134" s="89" t="s">
        <v>81</v>
      </c>
      <c r="D134" s="89" t="s">
        <v>34</v>
      </c>
      <c r="E134" s="89" t="s">
        <v>797</v>
      </c>
      <c r="F134" s="89" t="s">
        <v>802</v>
      </c>
      <c r="G134" s="89" t="s">
        <v>1055</v>
      </c>
      <c r="H134" s="93" t="s">
        <v>1056</v>
      </c>
    </row>
    <row r="135" spans="2:8" x14ac:dyDescent="0.25">
      <c r="B135" s="89" t="s">
        <v>80</v>
      </c>
      <c r="C135" s="89" t="s">
        <v>81</v>
      </c>
      <c r="D135" s="89" t="s">
        <v>34</v>
      </c>
      <c r="E135" s="89" t="s">
        <v>797</v>
      </c>
      <c r="F135" s="89" t="s">
        <v>802</v>
      </c>
      <c r="G135" s="89" t="s">
        <v>1057</v>
      </c>
      <c r="H135" s="93" t="s">
        <v>213</v>
      </c>
    </row>
    <row r="136" spans="2:8" x14ac:dyDescent="0.25">
      <c r="B136" s="89" t="s">
        <v>80</v>
      </c>
      <c r="C136" s="89" t="s">
        <v>81</v>
      </c>
      <c r="D136" s="89" t="s">
        <v>34</v>
      </c>
      <c r="E136" s="89" t="s">
        <v>797</v>
      </c>
      <c r="F136" s="89" t="s">
        <v>802</v>
      </c>
      <c r="G136" s="89" t="s">
        <v>218</v>
      </c>
      <c r="H136" s="93" t="s">
        <v>219</v>
      </c>
    </row>
    <row r="137" spans="2:8" x14ac:dyDescent="0.25">
      <c r="B137" s="89" t="s">
        <v>80</v>
      </c>
      <c r="C137" s="89" t="s">
        <v>81</v>
      </c>
      <c r="D137" s="89" t="s">
        <v>34</v>
      </c>
      <c r="E137" s="89" t="s">
        <v>797</v>
      </c>
      <c r="F137" s="89" t="s">
        <v>802</v>
      </c>
      <c r="G137" s="89" t="s">
        <v>1058</v>
      </c>
      <c r="H137" s="93" t="s">
        <v>1059</v>
      </c>
    </row>
    <row r="138" spans="2:8" x14ac:dyDescent="0.25">
      <c r="B138" s="89" t="s">
        <v>80</v>
      </c>
      <c r="C138" s="89" t="s">
        <v>81</v>
      </c>
      <c r="D138" s="89" t="s">
        <v>34</v>
      </c>
      <c r="E138" s="89" t="s">
        <v>797</v>
      </c>
      <c r="F138" s="89" t="s">
        <v>802</v>
      </c>
      <c r="G138" s="89" t="s">
        <v>1060</v>
      </c>
      <c r="H138" s="93" t="s">
        <v>1061</v>
      </c>
    </row>
    <row r="139" spans="2:8" x14ac:dyDescent="0.25">
      <c r="B139" s="89" t="s">
        <v>80</v>
      </c>
      <c r="C139" s="89" t="s">
        <v>81</v>
      </c>
      <c r="D139" s="89" t="s">
        <v>34</v>
      </c>
      <c r="E139" s="89" t="s">
        <v>797</v>
      </c>
      <c r="F139" s="89" t="s">
        <v>802</v>
      </c>
      <c r="G139" s="89" t="s">
        <v>1062</v>
      </c>
      <c r="H139" s="93" t="s">
        <v>1063</v>
      </c>
    </row>
    <row r="140" spans="2:8" x14ac:dyDescent="0.25">
      <c r="B140" s="89" t="s">
        <v>80</v>
      </c>
      <c r="C140" s="89" t="s">
        <v>81</v>
      </c>
      <c r="D140" s="89" t="s">
        <v>34</v>
      </c>
      <c r="E140" s="89" t="s">
        <v>797</v>
      </c>
      <c r="F140" s="89" t="s">
        <v>803</v>
      </c>
      <c r="G140" s="89" t="s">
        <v>210</v>
      </c>
      <c r="H140" s="93" t="s">
        <v>211</v>
      </c>
    </row>
    <row r="141" spans="2:8" x14ac:dyDescent="0.25">
      <c r="B141" s="89" t="s">
        <v>80</v>
      </c>
      <c r="C141" s="89" t="s">
        <v>81</v>
      </c>
      <c r="D141" s="89" t="s">
        <v>34</v>
      </c>
      <c r="E141" s="89" t="s">
        <v>797</v>
      </c>
      <c r="F141" s="89" t="s">
        <v>804</v>
      </c>
      <c r="G141" s="89" t="s">
        <v>1064</v>
      </c>
      <c r="H141" s="93" t="s">
        <v>1065</v>
      </c>
    </row>
    <row r="142" spans="2:8" x14ac:dyDescent="0.25">
      <c r="B142" s="89" t="s">
        <v>80</v>
      </c>
      <c r="C142" s="89" t="s">
        <v>81</v>
      </c>
      <c r="D142" s="89" t="s">
        <v>34</v>
      </c>
      <c r="E142" s="89" t="s">
        <v>797</v>
      </c>
      <c r="F142" s="89" t="s">
        <v>804</v>
      </c>
      <c r="G142" s="89" t="s">
        <v>1066</v>
      </c>
      <c r="H142" s="93" t="s">
        <v>1067</v>
      </c>
    </row>
    <row r="143" spans="2:8" x14ac:dyDescent="0.25">
      <c r="B143" s="89" t="s">
        <v>80</v>
      </c>
      <c r="C143" s="89" t="s">
        <v>81</v>
      </c>
      <c r="D143" s="89" t="s">
        <v>34</v>
      </c>
      <c r="E143" s="89" t="s">
        <v>797</v>
      </c>
      <c r="F143" s="89" t="s">
        <v>804</v>
      </c>
      <c r="G143" s="89" t="s">
        <v>222</v>
      </c>
      <c r="H143" s="93" t="s">
        <v>223</v>
      </c>
    </row>
    <row r="144" spans="2:8" x14ac:dyDescent="0.25">
      <c r="B144" s="89" t="s">
        <v>80</v>
      </c>
      <c r="C144" s="89" t="s">
        <v>81</v>
      </c>
      <c r="D144" s="89" t="s">
        <v>34</v>
      </c>
      <c r="E144" s="89" t="s">
        <v>797</v>
      </c>
      <c r="F144" s="89" t="s">
        <v>804</v>
      </c>
      <c r="G144" s="89" t="s">
        <v>224</v>
      </c>
      <c r="H144" s="93" t="s">
        <v>225</v>
      </c>
    </row>
    <row r="145" spans="2:8" x14ac:dyDescent="0.25">
      <c r="B145" s="89" t="s">
        <v>80</v>
      </c>
      <c r="C145" s="89" t="s">
        <v>81</v>
      </c>
      <c r="D145" s="89" t="s">
        <v>34</v>
      </c>
      <c r="E145" s="89" t="s">
        <v>797</v>
      </c>
      <c r="F145" s="89" t="s">
        <v>804</v>
      </c>
      <c r="G145" s="89" t="s">
        <v>1068</v>
      </c>
      <c r="H145" s="93" t="s">
        <v>1069</v>
      </c>
    </row>
    <row r="146" spans="2:8" x14ac:dyDescent="0.25">
      <c r="B146" s="89" t="s">
        <v>80</v>
      </c>
      <c r="C146" s="89" t="s">
        <v>81</v>
      </c>
      <c r="D146" s="89" t="s">
        <v>34</v>
      </c>
      <c r="E146" s="89" t="s">
        <v>797</v>
      </c>
      <c r="F146" s="89" t="s">
        <v>804</v>
      </c>
      <c r="G146" s="89" t="s">
        <v>1070</v>
      </c>
      <c r="H146" s="93" t="s">
        <v>1071</v>
      </c>
    </row>
    <row r="147" spans="2:8" x14ac:dyDescent="0.25">
      <c r="B147" s="89" t="s">
        <v>80</v>
      </c>
      <c r="C147" s="89" t="s">
        <v>81</v>
      </c>
      <c r="D147" s="89" t="s">
        <v>34</v>
      </c>
      <c r="E147" s="89" t="s">
        <v>805</v>
      </c>
      <c r="F147" s="89" t="s">
        <v>806</v>
      </c>
      <c r="G147" s="89" t="s">
        <v>255</v>
      </c>
      <c r="H147" s="93" t="s">
        <v>256</v>
      </c>
    </row>
    <row r="148" spans="2:8" x14ac:dyDescent="0.25">
      <c r="B148" s="89" t="s">
        <v>80</v>
      </c>
      <c r="C148" s="89" t="s">
        <v>81</v>
      </c>
      <c r="D148" s="89" t="s">
        <v>34</v>
      </c>
      <c r="E148" s="89" t="s">
        <v>805</v>
      </c>
      <c r="F148" s="89" t="s">
        <v>807</v>
      </c>
      <c r="G148" s="89" t="s">
        <v>1072</v>
      </c>
      <c r="H148" s="93" t="s">
        <v>258</v>
      </c>
    </row>
    <row r="149" spans="2:8" x14ac:dyDescent="0.25">
      <c r="B149" s="89" t="s">
        <v>80</v>
      </c>
      <c r="C149" s="89" t="s">
        <v>81</v>
      </c>
      <c r="D149" s="89" t="s">
        <v>34</v>
      </c>
      <c r="E149" s="89" t="s">
        <v>805</v>
      </c>
      <c r="F149" s="89" t="s">
        <v>808</v>
      </c>
      <c r="G149" s="89" t="s">
        <v>227</v>
      </c>
      <c r="H149" s="93" t="s">
        <v>228</v>
      </c>
    </row>
    <row r="150" spans="2:8" x14ac:dyDescent="0.25">
      <c r="B150" s="89" t="s">
        <v>80</v>
      </c>
      <c r="C150" s="89" t="s">
        <v>81</v>
      </c>
      <c r="D150" s="89" t="s">
        <v>34</v>
      </c>
      <c r="E150" s="89" t="s">
        <v>805</v>
      </c>
      <c r="F150" s="89" t="s">
        <v>809</v>
      </c>
      <c r="G150" s="89" t="s">
        <v>229</v>
      </c>
      <c r="H150" s="93" t="s">
        <v>230</v>
      </c>
    </row>
    <row r="151" spans="2:8" x14ac:dyDescent="0.25">
      <c r="B151" s="89" t="s">
        <v>80</v>
      </c>
      <c r="C151" s="89" t="s">
        <v>81</v>
      </c>
      <c r="D151" s="89" t="s">
        <v>34</v>
      </c>
      <c r="E151" s="89" t="s">
        <v>805</v>
      </c>
      <c r="F151" s="89" t="s">
        <v>810</v>
      </c>
      <c r="G151" s="89" t="s">
        <v>1073</v>
      </c>
      <c r="H151" s="93" t="s">
        <v>1074</v>
      </c>
    </row>
    <row r="152" spans="2:8" x14ac:dyDescent="0.25">
      <c r="B152" s="89" t="s">
        <v>80</v>
      </c>
      <c r="C152" s="89" t="s">
        <v>81</v>
      </c>
      <c r="D152" s="89" t="s">
        <v>34</v>
      </c>
      <c r="E152" s="89" t="s">
        <v>805</v>
      </c>
      <c r="F152" s="89" t="s">
        <v>810</v>
      </c>
      <c r="G152" s="89" t="s">
        <v>1075</v>
      </c>
      <c r="H152" s="93" t="s">
        <v>1076</v>
      </c>
    </row>
    <row r="153" spans="2:8" x14ac:dyDescent="0.25">
      <c r="B153" s="89" t="s">
        <v>80</v>
      </c>
      <c r="C153" s="89" t="s">
        <v>81</v>
      </c>
      <c r="D153" s="89" t="s">
        <v>34</v>
      </c>
      <c r="E153" s="89" t="s">
        <v>805</v>
      </c>
      <c r="F153" s="89" t="s">
        <v>810</v>
      </c>
      <c r="G153" s="89" t="s">
        <v>1077</v>
      </c>
      <c r="H153" s="93" t="s">
        <v>247</v>
      </c>
    </row>
    <row r="154" spans="2:8" x14ac:dyDescent="0.25">
      <c r="B154" s="89" t="s">
        <v>80</v>
      </c>
      <c r="C154" s="89" t="s">
        <v>81</v>
      </c>
      <c r="D154" s="89" t="s">
        <v>34</v>
      </c>
      <c r="E154" s="89" t="s">
        <v>805</v>
      </c>
      <c r="F154" s="89" t="s">
        <v>810</v>
      </c>
      <c r="G154" s="89" t="s">
        <v>1078</v>
      </c>
      <c r="H154" s="93" t="s">
        <v>254</v>
      </c>
    </row>
    <row r="155" spans="2:8" x14ac:dyDescent="0.25">
      <c r="B155" s="89" t="s">
        <v>80</v>
      </c>
      <c r="C155" s="89" t="s">
        <v>81</v>
      </c>
      <c r="D155" s="89" t="s">
        <v>34</v>
      </c>
      <c r="E155" s="89" t="s">
        <v>805</v>
      </c>
      <c r="F155" s="89" t="s">
        <v>810</v>
      </c>
      <c r="G155" s="89" t="s">
        <v>1079</v>
      </c>
      <c r="H155" s="93" t="s">
        <v>251</v>
      </c>
    </row>
    <row r="156" spans="2:8" x14ac:dyDescent="0.25">
      <c r="B156" s="89" t="s">
        <v>80</v>
      </c>
      <c r="C156" s="89" t="s">
        <v>81</v>
      </c>
      <c r="D156" s="89" t="s">
        <v>34</v>
      </c>
      <c r="E156" s="89" t="s">
        <v>805</v>
      </c>
      <c r="F156" s="89" t="s">
        <v>811</v>
      </c>
      <c r="G156" s="89" t="s">
        <v>1080</v>
      </c>
      <c r="H156" s="93" t="s">
        <v>265</v>
      </c>
    </row>
    <row r="157" spans="2:8" x14ac:dyDescent="0.25">
      <c r="B157" s="89" t="s">
        <v>80</v>
      </c>
      <c r="C157" s="89" t="s">
        <v>81</v>
      </c>
      <c r="D157" s="89" t="s">
        <v>34</v>
      </c>
      <c r="E157" s="89" t="s">
        <v>805</v>
      </c>
      <c r="F157" s="89" t="s">
        <v>811</v>
      </c>
      <c r="G157" s="89" t="s">
        <v>1081</v>
      </c>
      <c r="H157" s="93" t="s">
        <v>262</v>
      </c>
    </row>
    <row r="158" spans="2:8" x14ac:dyDescent="0.25">
      <c r="B158" s="89" t="s">
        <v>80</v>
      </c>
      <c r="C158" s="89" t="s">
        <v>81</v>
      </c>
      <c r="D158" s="89" t="s">
        <v>34</v>
      </c>
      <c r="E158" s="89" t="s">
        <v>805</v>
      </c>
      <c r="F158" s="89" t="s">
        <v>811</v>
      </c>
      <c r="G158" s="89" t="s">
        <v>1082</v>
      </c>
      <c r="H158" s="93" t="s">
        <v>260</v>
      </c>
    </row>
    <row r="159" spans="2:8" x14ac:dyDescent="0.25">
      <c r="B159" s="89" t="s">
        <v>80</v>
      </c>
      <c r="C159" s="89" t="s">
        <v>81</v>
      </c>
      <c r="D159" s="89" t="s">
        <v>34</v>
      </c>
      <c r="E159" s="89" t="s">
        <v>805</v>
      </c>
      <c r="F159" s="89" t="s">
        <v>811</v>
      </c>
      <c r="G159" s="89" t="s">
        <v>1083</v>
      </c>
      <c r="H159" s="93" t="s">
        <v>1084</v>
      </c>
    </row>
    <row r="160" spans="2:8" x14ac:dyDescent="0.25">
      <c r="B160" s="89" t="s">
        <v>80</v>
      </c>
      <c r="C160" s="89" t="s">
        <v>81</v>
      </c>
      <c r="D160" s="89" t="s">
        <v>34</v>
      </c>
      <c r="E160" s="89" t="s">
        <v>805</v>
      </c>
      <c r="F160" s="89" t="s">
        <v>811</v>
      </c>
      <c r="G160" s="89" t="s">
        <v>1085</v>
      </c>
      <c r="H160" s="93" t="s">
        <v>1086</v>
      </c>
    </row>
    <row r="161" spans="2:8" x14ac:dyDescent="0.25">
      <c r="B161" s="89" t="s">
        <v>80</v>
      </c>
      <c r="C161" s="89" t="s">
        <v>81</v>
      </c>
      <c r="D161" s="89" t="s">
        <v>34</v>
      </c>
      <c r="E161" s="89" t="s">
        <v>805</v>
      </c>
      <c r="F161" s="89" t="s">
        <v>811</v>
      </c>
      <c r="G161" s="89" t="s">
        <v>1083</v>
      </c>
      <c r="H161" s="93" t="s">
        <v>1087</v>
      </c>
    </row>
    <row r="162" spans="2:8" x14ac:dyDescent="0.25">
      <c r="B162" s="89" t="s">
        <v>80</v>
      </c>
      <c r="C162" s="89" t="s">
        <v>81</v>
      </c>
      <c r="D162" s="89" t="s">
        <v>34</v>
      </c>
      <c r="E162" s="89" t="s">
        <v>805</v>
      </c>
      <c r="F162" s="89" t="s">
        <v>811</v>
      </c>
      <c r="G162" s="89" t="s">
        <v>1088</v>
      </c>
      <c r="H162" s="93" t="s">
        <v>1089</v>
      </c>
    </row>
    <row r="163" spans="2:8" x14ac:dyDescent="0.25">
      <c r="B163" s="89" t="s">
        <v>80</v>
      </c>
      <c r="C163" s="89" t="s">
        <v>81</v>
      </c>
      <c r="D163" s="89" t="s">
        <v>34</v>
      </c>
      <c r="E163" s="89" t="s">
        <v>805</v>
      </c>
      <c r="F163" s="89" t="s">
        <v>811</v>
      </c>
      <c r="G163" s="89" t="s">
        <v>248</v>
      </c>
      <c r="H163" s="93" t="s">
        <v>249</v>
      </c>
    </row>
    <row r="164" spans="2:8" x14ac:dyDescent="0.25">
      <c r="B164" s="89" t="s">
        <v>80</v>
      </c>
      <c r="C164" s="89" t="s">
        <v>81</v>
      </c>
      <c r="D164" s="89" t="s">
        <v>34</v>
      </c>
      <c r="E164" s="89" t="s">
        <v>805</v>
      </c>
      <c r="F164" s="89" t="s">
        <v>812</v>
      </c>
      <c r="G164" s="89" t="s">
        <v>1090</v>
      </c>
      <c r="H164" s="93" t="s">
        <v>235</v>
      </c>
    </row>
    <row r="165" spans="2:8" x14ac:dyDescent="0.25">
      <c r="B165" s="89" t="s">
        <v>80</v>
      </c>
      <c r="C165" s="89" t="s">
        <v>81</v>
      </c>
      <c r="D165" s="89" t="s">
        <v>34</v>
      </c>
      <c r="E165" s="89" t="s">
        <v>805</v>
      </c>
      <c r="F165" s="89" t="s">
        <v>813</v>
      </c>
      <c r="G165" s="89" t="s">
        <v>268</v>
      </c>
      <c r="H165" s="93" t="s">
        <v>269</v>
      </c>
    </row>
    <row r="166" spans="2:8" x14ac:dyDescent="0.25">
      <c r="B166" s="89" t="s">
        <v>80</v>
      </c>
      <c r="C166" s="89" t="s">
        <v>81</v>
      </c>
      <c r="D166" s="89" t="s">
        <v>34</v>
      </c>
      <c r="E166" s="89" t="s">
        <v>805</v>
      </c>
      <c r="F166" s="89" t="s">
        <v>813</v>
      </c>
      <c r="G166" s="89" t="s">
        <v>266</v>
      </c>
      <c r="H166" s="93" t="s">
        <v>267</v>
      </c>
    </row>
    <row r="167" spans="2:8" x14ac:dyDescent="0.25">
      <c r="B167" s="89" t="s">
        <v>80</v>
      </c>
      <c r="C167" s="89" t="s">
        <v>81</v>
      </c>
      <c r="D167" s="89" t="s">
        <v>34</v>
      </c>
      <c r="E167" s="89" t="s">
        <v>805</v>
      </c>
      <c r="F167" s="89" t="s">
        <v>813</v>
      </c>
      <c r="G167" s="89" t="s">
        <v>1091</v>
      </c>
      <c r="H167" s="93" t="s">
        <v>1092</v>
      </c>
    </row>
    <row r="168" spans="2:8" x14ac:dyDescent="0.25">
      <c r="B168" s="89" t="s">
        <v>80</v>
      </c>
      <c r="C168" s="89" t="s">
        <v>81</v>
      </c>
      <c r="D168" s="89" t="s">
        <v>34</v>
      </c>
      <c r="E168" s="89" t="s">
        <v>805</v>
      </c>
      <c r="F168" s="89" t="s">
        <v>813</v>
      </c>
      <c r="G168" s="89" t="s">
        <v>1093</v>
      </c>
      <c r="H168" s="93" t="s">
        <v>1094</v>
      </c>
    </row>
    <row r="169" spans="2:8" x14ac:dyDescent="0.25">
      <c r="B169" s="89" t="s">
        <v>80</v>
      </c>
      <c r="C169" s="89" t="s">
        <v>81</v>
      </c>
      <c r="D169" s="89" t="s">
        <v>33</v>
      </c>
      <c r="E169" s="89" t="s">
        <v>814</v>
      </c>
      <c r="F169" s="89" t="s">
        <v>815</v>
      </c>
      <c r="G169" s="89" t="s">
        <v>1095</v>
      </c>
      <c r="H169" s="93" t="s">
        <v>1096</v>
      </c>
    </row>
    <row r="170" spans="2:8" x14ac:dyDescent="0.25">
      <c r="B170" s="89" t="s">
        <v>80</v>
      </c>
      <c r="C170" s="89" t="s">
        <v>81</v>
      </c>
      <c r="D170" s="89" t="s">
        <v>33</v>
      </c>
      <c r="E170" s="89" t="s">
        <v>814</v>
      </c>
      <c r="F170" s="89" t="s">
        <v>815</v>
      </c>
      <c r="G170" s="89" t="s">
        <v>1097</v>
      </c>
      <c r="H170" s="93" t="s">
        <v>1098</v>
      </c>
    </row>
    <row r="171" spans="2:8" x14ac:dyDescent="0.25">
      <c r="B171" s="89" t="s">
        <v>80</v>
      </c>
      <c r="C171" s="89" t="s">
        <v>81</v>
      </c>
      <c r="D171" s="89" t="s">
        <v>33</v>
      </c>
      <c r="E171" s="89" t="s">
        <v>814</v>
      </c>
      <c r="F171" s="89" t="s">
        <v>815</v>
      </c>
      <c r="G171" s="89" t="s">
        <v>1099</v>
      </c>
      <c r="H171" s="93" t="s">
        <v>275</v>
      </c>
    </row>
    <row r="172" spans="2:8" x14ac:dyDescent="0.25">
      <c r="B172" s="89" t="s">
        <v>80</v>
      </c>
      <c r="C172" s="89" t="s">
        <v>81</v>
      </c>
      <c r="D172" s="89" t="s">
        <v>33</v>
      </c>
      <c r="E172" s="89" t="s">
        <v>816</v>
      </c>
      <c r="F172" s="89" t="s">
        <v>817</v>
      </c>
      <c r="G172" s="89" t="s">
        <v>1100</v>
      </c>
      <c r="H172" s="93" t="s">
        <v>1101</v>
      </c>
    </row>
    <row r="173" spans="2:8" x14ac:dyDescent="0.25">
      <c r="B173" s="89" t="s">
        <v>80</v>
      </c>
      <c r="C173" s="89" t="s">
        <v>81</v>
      </c>
      <c r="D173" s="89" t="s">
        <v>33</v>
      </c>
      <c r="E173" s="89" t="s">
        <v>816</v>
      </c>
      <c r="F173" s="89" t="s">
        <v>817</v>
      </c>
      <c r="G173" s="89" t="s">
        <v>817</v>
      </c>
      <c r="H173" s="93" t="s">
        <v>1102</v>
      </c>
    </row>
    <row r="174" spans="2:8" x14ac:dyDescent="0.25">
      <c r="B174" s="89" t="s">
        <v>80</v>
      </c>
      <c r="C174" s="89" t="s">
        <v>81</v>
      </c>
      <c r="D174" s="89" t="s">
        <v>33</v>
      </c>
      <c r="E174" s="89" t="s">
        <v>816</v>
      </c>
      <c r="F174" s="89" t="s">
        <v>817</v>
      </c>
      <c r="G174" s="89" t="s">
        <v>1103</v>
      </c>
      <c r="H174" s="93" t="s">
        <v>278</v>
      </c>
    </row>
    <row r="175" spans="2:8" x14ac:dyDescent="0.25">
      <c r="B175" s="89" t="s">
        <v>80</v>
      </c>
      <c r="C175" s="89" t="s">
        <v>81</v>
      </c>
      <c r="D175" s="89" t="s">
        <v>33</v>
      </c>
      <c r="E175" s="89" t="s">
        <v>816</v>
      </c>
      <c r="F175" s="89" t="s">
        <v>817</v>
      </c>
      <c r="G175" s="89" t="s">
        <v>1104</v>
      </c>
      <c r="H175" s="93" t="s">
        <v>1105</v>
      </c>
    </row>
    <row r="176" spans="2:8" x14ac:dyDescent="0.25">
      <c r="B176" s="89" t="s">
        <v>80</v>
      </c>
      <c r="C176" s="89" t="s">
        <v>81</v>
      </c>
      <c r="D176" s="89" t="s">
        <v>33</v>
      </c>
      <c r="E176" s="89" t="s">
        <v>816</v>
      </c>
      <c r="F176" s="89" t="s">
        <v>817</v>
      </c>
      <c r="G176" s="89" t="s">
        <v>1106</v>
      </c>
      <c r="H176" s="93" t="s">
        <v>1107</v>
      </c>
    </row>
    <row r="177" spans="2:8" x14ac:dyDescent="0.25">
      <c r="B177" s="89" t="s">
        <v>80</v>
      </c>
      <c r="C177" s="89" t="s">
        <v>81</v>
      </c>
      <c r="D177" s="89" t="s">
        <v>33</v>
      </c>
      <c r="E177" s="89" t="s">
        <v>816</v>
      </c>
      <c r="F177" s="89" t="s">
        <v>817</v>
      </c>
      <c r="G177" s="89" t="s">
        <v>1108</v>
      </c>
      <c r="H177" s="93" t="s">
        <v>1109</v>
      </c>
    </row>
    <row r="178" spans="2:8" x14ac:dyDescent="0.25">
      <c r="B178" s="89" t="s">
        <v>80</v>
      </c>
      <c r="C178" s="89" t="s">
        <v>81</v>
      </c>
      <c r="D178" s="89" t="s">
        <v>33</v>
      </c>
      <c r="E178" s="89" t="s">
        <v>816</v>
      </c>
      <c r="F178" s="89" t="s">
        <v>817</v>
      </c>
      <c r="G178" s="89" t="s">
        <v>1110</v>
      </c>
      <c r="H178" s="93" t="s">
        <v>1111</v>
      </c>
    </row>
    <row r="179" spans="2:8" x14ac:dyDescent="0.25">
      <c r="B179" s="89" t="s">
        <v>80</v>
      </c>
      <c r="C179" s="89" t="s">
        <v>81</v>
      </c>
      <c r="D179" s="89" t="s">
        <v>33</v>
      </c>
      <c r="E179" s="89" t="s">
        <v>816</v>
      </c>
      <c r="F179" s="89" t="s">
        <v>817</v>
      </c>
      <c r="G179" s="89" t="s">
        <v>1112</v>
      </c>
      <c r="H179" s="93" t="s">
        <v>280</v>
      </c>
    </row>
    <row r="180" spans="2:8" x14ac:dyDescent="0.25">
      <c r="B180" s="89" t="s">
        <v>80</v>
      </c>
      <c r="C180" s="89" t="s">
        <v>81</v>
      </c>
      <c r="D180" s="89" t="s">
        <v>33</v>
      </c>
      <c r="E180" s="89" t="s">
        <v>816</v>
      </c>
      <c r="F180" s="89" t="s">
        <v>817</v>
      </c>
      <c r="G180" s="89" t="s">
        <v>1113</v>
      </c>
      <c r="H180" s="93" t="s">
        <v>1114</v>
      </c>
    </row>
    <row r="181" spans="2:8" x14ac:dyDescent="0.25">
      <c r="B181" s="89" t="s">
        <v>80</v>
      </c>
      <c r="C181" s="89" t="s">
        <v>81</v>
      </c>
      <c r="D181" s="89" t="s">
        <v>33</v>
      </c>
      <c r="E181" s="89" t="s">
        <v>816</v>
      </c>
      <c r="F181" s="89" t="s">
        <v>817</v>
      </c>
      <c r="G181" s="89" t="s">
        <v>1115</v>
      </c>
      <c r="H181" s="93" t="s">
        <v>1116</v>
      </c>
    </row>
    <row r="182" spans="2:8" x14ac:dyDescent="0.25">
      <c r="B182" s="89" t="s">
        <v>80</v>
      </c>
      <c r="C182" s="89" t="s">
        <v>81</v>
      </c>
      <c r="D182" s="89" t="s">
        <v>33</v>
      </c>
      <c r="E182" s="89" t="s">
        <v>816</v>
      </c>
      <c r="F182" s="89" t="s">
        <v>817</v>
      </c>
      <c r="G182" s="89" t="s">
        <v>1117</v>
      </c>
      <c r="H182" s="93" t="s">
        <v>1118</v>
      </c>
    </row>
    <row r="183" spans="2:8" x14ac:dyDescent="0.25">
      <c r="B183" s="89" t="s">
        <v>80</v>
      </c>
      <c r="C183" s="89" t="s">
        <v>81</v>
      </c>
      <c r="D183" s="89" t="s">
        <v>33</v>
      </c>
      <c r="E183" s="89" t="s">
        <v>816</v>
      </c>
      <c r="F183" s="89" t="s">
        <v>817</v>
      </c>
      <c r="G183" s="89" t="s">
        <v>1119</v>
      </c>
      <c r="H183" s="93" t="s">
        <v>1120</v>
      </c>
    </row>
    <row r="184" spans="2:8" x14ac:dyDescent="0.25">
      <c r="B184" s="89" t="s">
        <v>80</v>
      </c>
      <c r="C184" s="89" t="s">
        <v>81</v>
      </c>
      <c r="D184" s="89" t="s">
        <v>33</v>
      </c>
      <c r="E184" s="89" t="s">
        <v>816</v>
      </c>
      <c r="F184" s="89" t="s">
        <v>817</v>
      </c>
      <c r="G184" s="89" t="s">
        <v>1121</v>
      </c>
      <c r="H184" s="93" t="s">
        <v>1122</v>
      </c>
    </row>
    <row r="185" spans="2:8" x14ac:dyDescent="0.25">
      <c r="B185" s="89" t="s">
        <v>80</v>
      </c>
      <c r="C185" s="89" t="s">
        <v>81</v>
      </c>
      <c r="D185" s="89" t="s">
        <v>33</v>
      </c>
      <c r="E185" s="89" t="s">
        <v>816</v>
      </c>
      <c r="F185" s="89" t="s">
        <v>817</v>
      </c>
      <c r="G185" s="89" t="s">
        <v>1123</v>
      </c>
      <c r="H185" s="93" t="s">
        <v>1124</v>
      </c>
    </row>
    <row r="186" spans="2:8" x14ac:dyDescent="0.25">
      <c r="B186" s="89" t="s">
        <v>80</v>
      </c>
      <c r="C186" s="89" t="s">
        <v>81</v>
      </c>
      <c r="D186" s="89" t="s">
        <v>33</v>
      </c>
      <c r="E186" s="89" t="s">
        <v>816</v>
      </c>
      <c r="F186" s="89" t="s">
        <v>817</v>
      </c>
      <c r="G186" s="89" t="s">
        <v>1125</v>
      </c>
      <c r="H186" s="93" t="s">
        <v>1126</v>
      </c>
    </row>
    <row r="187" spans="2:8" x14ac:dyDescent="0.25">
      <c r="B187" s="89" t="s">
        <v>80</v>
      </c>
      <c r="C187" s="89" t="s">
        <v>81</v>
      </c>
      <c r="D187" s="89" t="s">
        <v>33</v>
      </c>
      <c r="E187" s="89" t="s">
        <v>816</v>
      </c>
      <c r="F187" s="89" t="s">
        <v>817</v>
      </c>
      <c r="G187" s="89" t="s">
        <v>1127</v>
      </c>
      <c r="H187" s="93" t="s">
        <v>1128</v>
      </c>
    </row>
    <row r="188" spans="2:8" x14ac:dyDescent="0.25">
      <c r="B188" s="89" t="s">
        <v>80</v>
      </c>
      <c r="C188" s="89" t="s">
        <v>81</v>
      </c>
      <c r="D188" s="89" t="s">
        <v>33</v>
      </c>
      <c r="E188" s="89" t="s">
        <v>816</v>
      </c>
      <c r="F188" s="89" t="s">
        <v>817</v>
      </c>
      <c r="G188" s="89" t="s">
        <v>1129</v>
      </c>
      <c r="H188" s="93" t="s">
        <v>1130</v>
      </c>
    </row>
    <row r="189" spans="2:8" x14ac:dyDescent="0.25">
      <c r="B189" s="89" t="s">
        <v>80</v>
      </c>
      <c r="C189" s="89" t="s">
        <v>81</v>
      </c>
      <c r="D189" s="89" t="s">
        <v>33</v>
      </c>
      <c r="E189" s="89" t="s">
        <v>818</v>
      </c>
      <c r="F189" s="89" t="s">
        <v>819</v>
      </c>
      <c r="G189" s="89" t="s">
        <v>1131</v>
      </c>
      <c r="H189" s="93" t="s">
        <v>1132</v>
      </c>
    </row>
    <row r="190" spans="2:8" x14ac:dyDescent="0.25">
      <c r="B190" s="89" t="s">
        <v>80</v>
      </c>
      <c r="C190" s="89" t="s">
        <v>81</v>
      </c>
      <c r="D190" s="89" t="s">
        <v>33</v>
      </c>
      <c r="E190" s="89" t="s">
        <v>818</v>
      </c>
      <c r="F190" s="89" t="s">
        <v>819</v>
      </c>
      <c r="G190" s="89" t="s">
        <v>1133</v>
      </c>
      <c r="H190" s="93" t="s">
        <v>1134</v>
      </c>
    </row>
    <row r="191" spans="2:8" x14ac:dyDescent="0.25">
      <c r="B191" s="89" t="s">
        <v>80</v>
      </c>
      <c r="C191" s="89" t="s">
        <v>81</v>
      </c>
      <c r="D191" s="89" t="s">
        <v>33</v>
      </c>
      <c r="E191" s="89" t="s">
        <v>818</v>
      </c>
      <c r="F191" s="89" t="s">
        <v>819</v>
      </c>
      <c r="G191" s="89" t="s">
        <v>1135</v>
      </c>
      <c r="H191" s="93" t="s">
        <v>1136</v>
      </c>
    </row>
    <row r="192" spans="2:8" x14ac:dyDescent="0.25">
      <c r="B192" s="89" t="s">
        <v>80</v>
      </c>
      <c r="C192" s="89" t="s">
        <v>81</v>
      </c>
      <c r="D192" s="89" t="s">
        <v>33</v>
      </c>
      <c r="E192" s="89" t="s">
        <v>818</v>
      </c>
      <c r="F192" s="89" t="s">
        <v>819</v>
      </c>
      <c r="G192" s="89" t="s">
        <v>1137</v>
      </c>
      <c r="H192" s="93" t="s">
        <v>324</v>
      </c>
    </row>
    <row r="193" spans="2:8" x14ac:dyDescent="0.25">
      <c r="B193" s="89" t="s">
        <v>80</v>
      </c>
      <c r="C193" s="89" t="s">
        <v>81</v>
      </c>
      <c r="D193" s="89" t="s">
        <v>33</v>
      </c>
      <c r="E193" s="89" t="s">
        <v>818</v>
      </c>
      <c r="F193" s="89" t="s">
        <v>820</v>
      </c>
      <c r="G193" s="89" t="s">
        <v>321</v>
      </c>
      <c r="H193" s="93" t="s">
        <v>322</v>
      </c>
    </row>
    <row r="194" spans="2:8" x14ac:dyDescent="0.25">
      <c r="B194" s="89" t="s">
        <v>80</v>
      </c>
      <c r="C194" s="89" t="s">
        <v>81</v>
      </c>
      <c r="D194" s="89" t="s">
        <v>33</v>
      </c>
      <c r="E194" s="89" t="s">
        <v>286</v>
      </c>
      <c r="F194" s="89" t="s">
        <v>821</v>
      </c>
      <c r="G194" s="89" t="s">
        <v>1138</v>
      </c>
      <c r="H194" s="93" t="s">
        <v>1139</v>
      </c>
    </row>
    <row r="195" spans="2:8" x14ac:dyDescent="0.25">
      <c r="B195" s="89" t="s">
        <v>80</v>
      </c>
      <c r="C195" s="89" t="s">
        <v>81</v>
      </c>
      <c r="D195" s="89" t="s">
        <v>33</v>
      </c>
      <c r="E195" s="89" t="s">
        <v>286</v>
      </c>
      <c r="F195" s="89" t="s">
        <v>821</v>
      </c>
      <c r="G195" s="89" t="s">
        <v>1140</v>
      </c>
      <c r="H195" s="93" t="s">
        <v>1141</v>
      </c>
    </row>
    <row r="196" spans="2:8" x14ac:dyDescent="0.25">
      <c r="B196" s="89" t="s">
        <v>80</v>
      </c>
      <c r="C196" s="89" t="s">
        <v>81</v>
      </c>
      <c r="D196" s="89" t="s">
        <v>33</v>
      </c>
      <c r="E196" s="89" t="s">
        <v>286</v>
      </c>
      <c r="F196" s="89" t="s">
        <v>821</v>
      </c>
      <c r="G196" s="89" t="s">
        <v>1142</v>
      </c>
      <c r="H196" s="93" t="s">
        <v>1143</v>
      </c>
    </row>
    <row r="197" spans="2:8" x14ac:dyDescent="0.25">
      <c r="B197" s="89" t="s">
        <v>80</v>
      </c>
      <c r="C197" s="89" t="s">
        <v>81</v>
      </c>
      <c r="D197" s="89" t="s">
        <v>33</v>
      </c>
      <c r="E197" s="89" t="s">
        <v>286</v>
      </c>
      <c r="F197" s="89" t="s">
        <v>821</v>
      </c>
      <c r="G197" s="89" t="s">
        <v>1144</v>
      </c>
      <c r="H197" s="93" t="s">
        <v>1145</v>
      </c>
    </row>
    <row r="198" spans="2:8" x14ac:dyDescent="0.25">
      <c r="B198" s="89" t="s">
        <v>80</v>
      </c>
      <c r="C198" s="89" t="s">
        <v>81</v>
      </c>
      <c r="D198" s="89" t="s">
        <v>33</v>
      </c>
      <c r="E198" s="89" t="s">
        <v>286</v>
      </c>
      <c r="F198" s="89" t="s">
        <v>821</v>
      </c>
      <c r="G198" s="89" t="s">
        <v>1146</v>
      </c>
      <c r="H198" s="93" t="s">
        <v>1147</v>
      </c>
    </row>
    <row r="199" spans="2:8" x14ac:dyDescent="0.25">
      <c r="B199" s="89" t="s">
        <v>80</v>
      </c>
      <c r="C199" s="89" t="s">
        <v>81</v>
      </c>
      <c r="D199" s="89" t="s">
        <v>33</v>
      </c>
      <c r="E199" s="89" t="s">
        <v>286</v>
      </c>
      <c r="F199" s="89" t="s">
        <v>821</v>
      </c>
      <c r="G199" s="89" t="s">
        <v>1148</v>
      </c>
      <c r="H199" s="93" t="s">
        <v>1149</v>
      </c>
    </row>
    <row r="200" spans="2:8" x14ac:dyDescent="0.25">
      <c r="B200" s="89" t="s">
        <v>80</v>
      </c>
      <c r="C200" s="89" t="s">
        <v>81</v>
      </c>
      <c r="D200" s="89" t="s">
        <v>33</v>
      </c>
      <c r="E200" s="89" t="s">
        <v>286</v>
      </c>
      <c r="F200" s="89" t="s">
        <v>821</v>
      </c>
      <c r="G200" s="89" t="s">
        <v>1150</v>
      </c>
      <c r="H200" s="93" t="s">
        <v>1151</v>
      </c>
    </row>
    <row r="201" spans="2:8" x14ac:dyDescent="0.25">
      <c r="B201" s="89" t="s">
        <v>80</v>
      </c>
      <c r="C201" s="89" t="s">
        <v>81</v>
      </c>
      <c r="D201" s="89" t="s">
        <v>33</v>
      </c>
      <c r="E201" s="89" t="s">
        <v>286</v>
      </c>
      <c r="F201" s="89" t="s">
        <v>821</v>
      </c>
      <c r="G201" s="89" t="s">
        <v>299</v>
      </c>
      <c r="H201" s="93" t="s">
        <v>300</v>
      </c>
    </row>
    <row r="202" spans="2:8" x14ac:dyDescent="0.25">
      <c r="B202" s="89" t="s">
        <v>80</v>
      </c>
      <c r="C202" s="89" t="s">
        <v>81</v>
      </c>
      <c r="D202" s="89" t="s">
        <v>33</v>
      </c>
      <c r="E202" s="89" t="s">
        <v>286</v>
      </c>
      <c r="F202" s="89" t="s">
        <v>821</v>
      </c>
      <c r="G202" s="89" t="s">
        <v>1152</v>
      </c>
      <c r="H202" s="93" t="s">
        <v>1153</v>
      </c>
    </row>
    <row r="203" spans="2:8" x14ac:dyDescent="0.25">
      <c r="B203" s="89" t="s">
        <v>80</v>
      </c>
      <c r="C203" s="89" t="s">
        <v>81</v>
      </c>
      <c r="D203" s="89" t="s">
        <v>33</v>
      </c>
      <c r="E203" s="89" t="s">
        <v>286</v>
      </c>
      <c r="F203" s="89" t="s">
        <v>821</v>
      </c>
      <c r="G203" s="89" t="s">
        <v>1154</v>
      </c>
      <c r="H203" s="93" t="s">
        <v>1155</v>
      </c>
    </row>
    <row r="204" spans="2:8" x14ac:dyDescent="0.25">
      <c r="B204" s="89" t="s">
        <v>80</v>
      </c>
      <c r="C204" s="89" t="s">
        <v>81</v>
      </c>
      <c r="D204" s="89" t="s">
        <v>33</v>
      </c>
      <c r="E204" s="89" t="s">
        <v>286</v>
      </c>
      <c r="F204" s="89" t="s">
        <v>821</v>
      </c>
      <c r="G204" s="89" t="s">
        <v>1156</v>
      </c>
      <c r="H204" s="93" t="s">
        <v>1157</v>
      </c>
    </row>
    <row r="205" spans="2:8" x14ac:dyDescent="0.25">
      <c r="B205" s="89" t="s">
        <v>80</v>
      </c>
      <c r="C205" s="89" t="s">
        <v>81</v>
      </c>
      <c r="D205" s="89" t="s">
        <v>33</v>
      </c>
      <c r="E205" s="89" t="s">
        <v>286</v>
      </c>
      <c r="F205" s="89" t="s">
        <v>821</v>
      </c>
      <c r="G205" s="89" t="s">
        <v>1158</v>
      </c>
      <c r="H205" s="93" t="s">
        <v>1159</v>
      </c>
    </row>
    <row r="206" spans="2:8" x14ac:dyDescent="0.25">
      <c r="B206" s="89" t="s">
        <v>80</v>
      </c>
      <c r="C206" s="89" t="s">
        <v>81</v>
      </c>
      <c r="D206" s="89" t="s">
        <v>33</v>
      </c>
      <c r="E206" s="89" t="s">
        <v>286</v>
      </c>
      <c r="F206" s="89" t="s">
        <v>822</v>
      </c>
      <c r="G206" s="89" t="s">
        <v>303</v>
      </c>
      <c r="H206" s="93" t="s">
        <v>304</v>
      </c>
    </row>
    <row r="207" spans="2:8" x14ac:dyDescent="0.25">
      <c r="B207" s="89" t="s">
        <v>80</v>
      </c>
      <c r="C207" s="89" t="s">
        <v>81</v>
      </c>
      <c r="D207" s="89" t="s">
        <v>33</v>
      </c>
      <c r="E207" s="89" t="s">
        <v>286</v>
      </c>
      <c r="F207" s="89" t="s">
        <v>822</v>
      </c>
      <c r="G207" s="89" t="s">
        <v>1160</v>
      </c>
      <c r="H207" s="93" t="s">
        <v>1161</v>
      </c>
    </row>
    <row r="208" spans="2:8" x14ac:dyDescent="0.25">
      <c r="B208" s="89" t="s">
        <v>80</v>
      </c>
      <c r="C208" s="89" t="s">
        <v>81</v>
      </c>
      <c r="D208" s="89" t="s">
        <v>33</v>
      </c>
      <c r="E208" s="89" t="s">
        <v>286</v>
      </c>
      <c r="F208" s="89" t="s">
        <v>822</v>
      </c>
      <c r="G208" s="89" t="s">
        <v>307</v>
      </c>
      <c r="H208" s="93" t="s">
        <v>308</v>
      </c>
    </row>
    <row r="209" spans="2:8" x14ac:dyDescent="0.25">
      <c r="B209" s="89" t="s">
        <v>80</v>
      </c>
      <c r="C209" s="89" t="s">
        <v>81</v>
      </c>
      <c r="D209" s="89" t="s">
        <v>33</v>
      </c>
      <c r="E209" s="89" t="s">
        <v>286</v>
      </c>
      <c r="F209" s="89" t="s">
        <v>822</v>
      </c>
      <c r="G209" s="89" t="s">
        <v>1162</v>
      </c>
      <c r="H209" s="93" t="s">
        <v>310</v>
      </c>
    </row>
    <row r="210" spans="2:8" x14ac:dyDescent="0.25">
      <c r="B210" s="89" t="s">
        <v>80</v>
      </c>
      <c r="C210" s="89" t="s">
        <v>81</v>
      </c>
      <c r="D210" s="89" t="s">
        <v>33</v>
      </c>
      <c r="E210" s="89" t="s">
        <v>286</v>
      </c>
      <c r="F210" s="89" t="s">
        <v>822</v>
      </c>
      <c r="G210" s="89" t="s">
        <v>1163</v>
      </c>
      <c r="H210" s="93" t="s">
        <v>1164</v>
      </c>
    </row>
    <row r="211" spans="2:8" x14ac:dyDescent="0.25">
      <c r="B211" s="89" t="s">
        <v>80</v>
      </c>
      <c r="C211" s="89" t="s">
        <v>81</v>
      </c>
      <c r="D211" s="89" t="s">
        <v>33</v>
      </c>
      <c r="E211" s="89" t="s">
        <v>286</v>
      </c>
      <c r="F211" s="89" t="s">
        <v>822</v>
      </c>
      <c r="G211" s="89" t="s">
        <v>297</v>
      </c>
      <c r="H211" s="93" t="s">
        <v>298</v>
      </c>
    </row>
    <row r="212" spans="2:8" x14ac:dyDescent="0.25">
      <c r="B212" s="89" t="s">
        <v>80</v>
      </c>
      <c r="C212" s="89" t="s">
        <v>81</v>
      </c>
      <c r="D212" s="89" t="s">
        <v>33</v>
      </c>
      <c r="E212" s="89" t="s">
        <v>286</v>
      </c>
      <c r="F212" s="89" t="s">
        <v>822</v>
      </c>
      <c r="G212" s="89" t="s">
        <v>1165</v>
      </c>
      <c r="H212" s="93" t="s">
        <v>1166</v>
      </c>
    </row>
    <row r="213" spans="2:8" x14ac:dyDescent="0.25">
      <c r="B213" s="89" t="s">
        <v>80</v>
      </c>
      <c r="C213" s="89" t="s">
        <v>81</v>
      </c>
      <c r="D213" s="89" t="s">
        <v>33</v>
      </c>
      <c r="E213" s="89" t="s">
        <v>286</v>
      </c>
      <c r="F213" s="89" t="s">
        <v>822</v>
      </c>
      <c r="G213" s="89" t="s">
        <v>1167</v>
      </c>
      <c r="H213" s="93" t="s">
        <v>1168</v>
      </c>
    </row>
    <row r="214" spans="2:8" x14ac:dyDescent="0.25">
      <c r="B214" s="89" t="s">
        <v>80</v>
      </c>
      <c r="C214" s="89" t="s">
        <v>81</v>
      </c>
      <c r="D214" s="89" t="s">
        <v>33</v>
      </c>
      <c r="E214" s="89" t="s">
        <v>286</v>
      </c>
      <c r="F214" s="89" t="s">
        <v>822</v>
      </c>
      <c r="G214" s="89" t="s">
        <v>291</v>
      </c>
      <c r="H214" s="93" t="s">
        <v>292</v>
      </c>
    </row>
    <row r="215" spans="2:8" x14ac:dyDescent="0.25">
      <c r="B215" s="89" t="s">
        <v>80</v>
      </c>
      <c r="C215" s="89" t="s">
        <v>81</v>
      </c>
      <c r="D215" s="89" t="s">
        <v>33</v>
      </c>
      <c r="E215" s="89" t="s">
        <v>286</v>
      </c>
      <c r="F215" s="89" t="s">
        <v>822</v>
      </c>
      <c r="G215" s="89" t="s">
        <v>1169</v>
      </c>
      <c r="H215" s="93" t="s">
        <v>290</v>
      </c>
    </row>
    <row r="216" spans="2:8" x14ac:dyDescent="0.25">
      <c r="B216" s="89" t="s">
        <v>80</v>
      </c>
      <c r="C216" s="89" t="s">
        <v>81</v>
      </c>
      <c r="D216" s="89" t="s">
        <v>33</v>
      </c>
      <c r="E216" s="89" t="s">
        <v>286</v>
      </c>
      <c r="F216" s="89" t="s">
        <v>822</v>
      </c>
      <c r="G216" s="89" t="s">
        <v>1170</v>
      </c>
      <c r="H216" s="93" t="s">
        <v>1171</v>
      </c>
    </row>
    <row r="217" spans="2:8" x14ac:dyDescent="0.25">
      <c r="B217" s="89" t="s">
        <v>80</v>
      </c>
      <c r="C217" s="89" t="s">
        <v>81</v>
      </c>
      <c r="D217" s="89" t="s">
        <v>33</v>
      </c>
      <c r="E217" s="89" t="s">
        <v>286</v>
      </c>
      <c r="F217" s="89" t="s">
        <v>822</v>
      </c>
      <c r="G217" s="89" t="s">
        <v>1172</v>
      </c>
      <c r="H217" s="93" t="s">
        <v>1173</v>
      </c>
    </row>
    <row r="218" spans="2:8" x14ac:dyDescent="0.25">
      <c r="B218" s="89" t="s">
        <v>80</v>
      </c>
      <c r="C218" s="89" t="s">
        <v>81</v>
      </c>
      <c r="D218" s="89" t="s">
        <v>33</v>
      </c>
      <c r="E218" s="89" t="s">
        <v>286</v>
      </c>
      <c r="F218" s="89" t="s">
        <v>822</v>
      </c>
      <c r="G218" s="89" t="s">
        <v>1174</v>
      </c>
      <c r="H218" s="93" t="s">
        <v>1175</v>
      </c>
    </row>
    <row r="219" spans="2:8" x14ac:dyDescent="0.25">
      <c r="B219" s="89" t="s">
        <v>80</v>
      </c>
      <c r="C219" s="89" t="s">
        <v>81</v>
      </c>
      <c r="D219" s="89" t="s">
        <v>33</v>
      </c>
      <c r="E219" s="89" t="s">
        <v>286</v>
      </c>
      <c r="F219" s="89" t="s">
        <v>823</v>
      </c>
      <c r="G219" s="89" t="s">
        <v>305</v>
      </c>
      <c r="H219" s="93" t="s">
        <v>306</v>
      </c>
    </row>
    <row r="220" spans="2:8" x14ac:dyDescent="0.25">
      <c r="B220" s="89" t="s">
        <v>80</v>
      </c>
      <c r="C220" s="89" t="s">
        <v>81</v>
      </c>
      <c r="D220" s="89" t="s">
        <v>33</v>
      </c>
      <c r="E220" s="89" t="s">
        <v>824</v>
      </c>
      <c r="F220" s="89" t="s">
        <v>825</v>
      </c>
      <c r="G220" s="89" t="s">
        <v>325</v>
      </c>
      <c r="H220" s="93" t="s">
        <v>326</v>
      </c>
    </row>
    <row r="221" spans="2:8" x14ac:dyDescent="0.25">
      <c r="B221" s="89" t="s">
        <v>80</v>
      </c>
      <c r="C221" s="89" t="s">
        <v>81</v>
      </c>
      <c r="D221" s="89" t="s">
        <v>33</v>
      </c>
      <c r="E221" s="89" t="s">
        <v>824</v>
      </c>
      <c r="F221" s="89" t="s">
        <v>826</v>
      </c>
      <c r="G221" s="89" t="s">
        <v>327</v>
      </c>
      <c r="H221" s="93" t="s">
        <v>328</v>
      </c>
    </row>
    <row r="222" spans="2:8" x14ac:dyDescent="0.25">
      <c r="B222" s="89" t="s">
        <v>80</v>
      </c>
      <c r="C222" s="89" t="s">
        <v>81</v>
      </c>
      <c r="D222" s="89" t="s">
        <v>33</v>
      </c>
      <c r="E222" s="89" t="s">
        <v>827</v>
      </c>
      <c r="F222" s="89" t="s">
        <v>828</v>
      </c>
      <c r="G222" s="89" t="s">
        <v>330</v>
      </c>
      <c r="H222" s="93" t="s">
        <v>331</v>
      </c>
    </row>
    <row r="223" spans="2:8" x14ac:dyDescent="0.25">
      <c r="B223" s="89" t="s">
        <v>80</v>
      </c>
      <c r="C223" s="89" t="s">
        <v>81</v>
      </c>
      <c r="D223" s="89" t="s">
        <v>33</v>
      </c>
      <c r="E223" s="89" t="s">
        <v>827</v>
      </c>
      <c r="F223" s="89" t="s">
        <v>828</v>
      </c>
      <c r="G223" s="89" t="s">
        <v>1176</v>
      </c>
      <c r="H223" s="93" t="s">
        <v>1177</v>
      </c>
    </row>
    <row r="224" spans="2:8" x14ac:dyDescent="0.25">
      <c r="B224" s="89" t="s">
        <v>80</v>
      </c>
      <c r="C224" s="89" t="s">
        <v>81</v>
      </c>
      <c r="D224" s="89" t="s">
        <v>33</v>
      </c>
      <c r="E224" s="89" t="s">
        <v>827</v>
      </c>
      <c r="F224" s="89" t="s">
        <v>828</v>
      </c>
      <c r="G224" s="89" t="s">
        <v>1178</v>
      </c>
      <c r="H224" s="93" t="s">
        <v>1179</v>
      </c>
    </row>
    <row r="225" spans="2:8" x14ac:dyDescent="0.25">
      <c r="B225" s="89" t="s">
        <v>80</v>
      </c>
      <c r="C225" s="89" t="s">
        <v>81</v>
      </c>
      <c r="D225" s="89" t="s">
        <v>35</v>
      </c>
      <c r="E225" s="89" t="s">
        <v>332</v>
      </c>
      <c r="F225" s="89" t="s">
        <v>829</v>
      </c>
      <c r="G225" s="89" t="s">
        <v>1180</v>
      </c>
      <c r="H225" s="93" t="s">
        <v>1181</v>
      </c>
    </row>
    <row r="226" spans="2:8" x14ac:dyDescent="0.25">
      <c r="B226" s="89" t="s">
        <v>80</v>
      </c>
      <c r="C226" s="89" t="s">
        <v>81</v>
      </c>
      <c r="D226" s="89" t="s">
        <v>35</v>
      </c>
      <c r="E226" s="89" t="s">
        <v>332</v>
      </c>
      <c r="F226" s="89" t="s">
        <v>829</v>
      </c>
      <c r="G226" s="89" t="s">
        <v>1182</v>
      </c>
      <c r="H226" s="93" t="s">
        <v>1183</v>
      </c>
    </row>
    <row r="227" spans="2:8" x14ac:dyDescent="0.25">
      <c r="B227" s="89" t="s">
        <v>80</v>
      </c>
      <c r="C227" s="89" t="s">
        <v>81</v>
      </c>
      <c r="D227" s="89" t="s">
        <v>35</v>
      </c>
      <c r="E227" s="89" t="s">
        <v>332</v>
      </c>
      <c r="F227" s="89" t="s">
        <v>829</v>
      </c>
      <c r="G227" s="89" t="s">
        <v>343</v>
      </c>
      <c r="H227" s="93" t="s">
        <v>344</v>
      </c>
    </row>
    <row r="228" spans="2:8" x14ac:dyDescent="0.25">
      <c r="B228" s="89" t="s">
        <v>80</v>
      </c>
      <c r="C228" s="89" t="s">
        <v>81</v>
      </c>
      <c r="D228" s="89" t="s">
        <v>35</v>
      </c>
      <c r="E228" s="89" t="s">
        <v>332</v>
      </c>
      <c r="F228" s="89" t="s">
        <v>830</v>
      </c>
      <c r="G228" s="89" t="s">
        <v>830</v>
      </c>
      <c r="H228" s="93" t="s">
        <v>1184</v>
      </c>
    </row>
    <row r="229" spans="2:8" x14ac:dyDescent="0.25">
      <c r="B229" s="89" t="s">
        <v>80</v>
      </c>
      <c r="C229" s="89" t="s">
        <v>81</v>
      </c>
      <c r="D229" s="89" t="s">
        <v>35</v>
      </c>
      <c r="E229" s="89" t="s">
        <v>332</v>
      </c>
      <c r="F229" s="89" t="s">
        <v>830</v>
      </c>
      <c r="G229" s="89" t="s">
        <v>1185</v>
      </c>
      <c r="H229" s="93" t="s">
        <v>1186</v>
      </c>
    </row>
    <row r="230" spans="2:8" x14ac:dyDescent="0.25">
      <c r="B230" s="89" t="s">
        <v>80</v>
      </c>
      <c r="C230" s="89" t="s">
        <v>81</v>
      </c>
      <c r="D230" s="89" t="s">
        <v>35</v>
      </c>
      <c r="E230" s="89" t="s">
        <v>332</v>
      </c>
      <c r="F230" s="89" t="s">
        <v>831</v>
      </c>
      <c r="G230" s="89" t="s">
        <v>1187</v>
      </c>
      <c r="H230" s="93" t="s">
        <v>1188</v>
      </c>
    </row>
    <row r="231" spans="2:8" x14ac:dyDescent="0.25">
      <c r="B231" s="89" t="s">
        <v>80</v>
      </c>
      <c r="C231" s="89" t="s">
        <v>81</v>
      </c>
      <c r="D231" s="89" t="s">
        <v>35</v>
      </c>
      <c r="E231" s="89" t="s">
        <v>332</v>
      </c>
      <c r="F231" s="89" t="s">
        <v>831</v>
      </c>
      <c r="G231" s="89" t="s">
        <v>1189</v>
      </c>
      <c r="H231" s="93" t="s">
        <v>1190</v>
      </c>
    </row>
    <row r="232" spans="2:8" x14ac:dyDescent="0.25">
      <c r="B232" s="89" t="s">
        <v>80</v>
      </c>
      <c r="C232" s="89" t="s">
        <v>81</v>
      </c>
      <c r="D232" s="89" t="s">
        <v>35</v>
      </c>
      <c r="E232" s="89" t="s">
        <v>332</v>
      </c>
      <c r="F232" s="89" t="s">
        <v>831</v>
      </c>
      <c r="G232" s="89" t="s">
        <v>1191</v>
      </c>
      <c r="H232" s="93" t="s">
        <v>1192</v>
      </c>
    </row>
    <row r="233" spans="2:8" x14ac:dyDescent="0.25">
      <c r="B233" s="89" t="s">
        <v>80</v>
      </c>
      <c r="C233" s="89" t="s">
        <v>81</v>
      </c>
      <c r="D233" s="89" t="s">
        <v>35</v>
      </c>
      <c r="E233" s="89" t="s">
        <v>332</v>
      </c>
      <c r="F233" s="89" t="s">
        <v>831</v>
      </c>
      <c r="G233" s="89" t="s">
        <v>1193</v>
      </c>
      <c r="H233" s="93" t="s">
        <v>1194</v>
      </c>
    </row>
    <row r="234" spans="2:8" x14ac:dyDescent="0.25">
      <c r="B234" s="89" t="s">
        <v>80</v>
      </c>
      <c r="C234" s="89" t="s">
        <v>81</v>
      </c>
      <c r="D234" s="89" t="s">
        <v>35</v>
      </c>
      <c r="E234" s="89" t="s">
        <v>332</v>
      </c>
      <c r="F234" s="89" t="s">
        <v>831</v>
      </c>
      <c r="G234" s="89" t="s">
        <v>1195</v>
      </c>
      <c r="H234" s="93" t="s">
        <v>1196</v>
      </c>
    </row>
    <row r="235" spans="2:8" x14ac:dyDescent="0.25">
      <c r="B235" s="89" t="s">
        <v>80</v>
      </c>
      <c r="C235" s="89" t="s">
        <v>81</v>
      </c>
      <c r="D235" s="89" t="s">
        <v>35</v>
      </c>
      <c r="E235" s="89" t="s">
        <v>332</v>
      </c>
      <c r="F235" s="89" t="s">
        <v>831</v>
      </c>
      <c r="G235" s="89" t="s">
        <v>335</v>
      </c>
      <c r="H235" s="93" t="s">
        <v>336</v>
      </c>
    </row>
    <row r="236" spans="2:8" x14ac:dyDescent="0.25">
      <c r="B236" s="89" t="s">
        <v>80</v>
      </c>
      <c r="C236" s="89" t="s">
        <v>81</v>
      </c>
      <c r="D236" s="89" t="s">
        <v>35</v>
      </c>
      <c r="E236" s="89" t="s">
        <v>332</v>
      </c>
      <c r="F236" s="89" t="s">
        <v>831</v>
      </c>
      <c r="G236" s="89" t="s">
        <v>1197</v>
      </c>
      <c r="H236" s="93" t="s">
        <v>1198</v>
      </c>
    </row>
    <row r="237" spans="2:8" x14ac:dyDescent="0.25">
      <c r="B237" s="89" t="s">
        <v>80</v>
      </c>
      <c r="C237" s="89" t="s">
        <v>81</v>
      </c>
      <c r="D237" s="89" t="s">
        <v>35</v>
      </c>
      <c r="E237" s="89" t="s">
        <v>332</v>
      </c>
      <c r="F237" s="89" t="s">
        <v>832</v>
      </c>
      <c r="G237" s="89" t="s">
        <v>1199</v>
      </c>
      <c r="H237" s="93" t="s">
        <v>1200</v>
      </c>
    </row>
    <row r="238" spans="2:8" x14ac:dyDescent="0.25">
      <c r="B238" s="89" t="s">
        <v>80</v>
      </c>
      <c r="C238" s="89" t="s">
        <v>81</v>
      </c>
      <c r="D238" s="89" t="s">
        <v>35</v>
      </c>
      <c r="E238" s="89" t="s">
        <v>332</v>
      </c>
      <c r="F238" s="89" t="s">
        <v>832</v>
      </c>
      <c r="G238" s="89" t="s">
        <v>345</v>
      </c>
      <c r="H238" s="93" t="s">
        <v>346</v>
      </c>
    </row>
    <row r="239" spans="2:8" x14ac:dyDescent="0.25">
      <c r="B239" s="89" t="s">
        <v>80</v>
      </c>
      <c r="C239" s="89" t="s">
        <v>81</v>
      </c>
      <c r="D239" s="89" t="s">
        <v>35</v>
      </c>
      <c r="E239" s="89" t="s">
        <v>332</v>
      </c>
      <c r="F239" s="89" t="s">
        <v>833</v>
      </c>
      <c r="G239" s="89" t="s">
        <v>1201</v>
      </c>
      <c r="H239" s="93" t="s">
        <v>1202</v>
      </c>
    </row>
    <row r="240" spans="2:8" x14ac:dyDescent="0.25">
      <c r="B240" s="89" t="s">
        <v>80</v>
      </c>
      <c r="C240" s="89" t="s">
        <v>81</v>
      </c>
      <c r="D240" s="89" t="s">
        <v>35</v>
      </c>
      <c r="E240" s="89" t="s">
        <v>332</v>
      </c>
      <c r="F240" s="89" t="s">
        <v>833</v>
      </c>
      <c r="G240" s="89" t="s">
        <v>1203</v>
      </c>
      <c r="H240" s="93" t="s">
        <v>1204</v>
      </c>
    </row>
    <row r="241" spans="2:8" x14ac:dyDescent="0.25">
      <c r="B241" s="89" t="s">
        <v>80</v>
      </c>
      <c r="C241" s="89" t="s">
        <v>81</v>
      </c>
      <c r="D241" s="89" t="s">
        <v>35</v>
      </c>
      <c r="E241" s="89" t="s">
        <v>332</v>
      </c>
      <c r="F241" s="89" t="s">
        <v>833</v>
      </c>
      <c r="G241" s="89" t="s">
        <v>1205</v>
      </c>
      <c r="H241" s="93" t="s">
        <v>1206</v>
      </c>
    </row>
    <row r="242" spans="2:8" x14ac:dyDescent="0.25">
      <c r="B242" s="89" t="s">
        <v>80</v>
      </c>
      <c r="C242" s="89" t="s">
        <v>81</v>
      </c>
      <c r="D242" s="89" t="s">
        <v>35</v>
      </c>
      <c r="E242" s="89" t="s">
        <v>332</v>
      </c>
      <c r="F242" s="89" t="s">
        <v>833</v>
      </c>
      <c r="G242" s="89" t="s">
        <v>1207</v>
      </c>
      <c r="H242" s="93" t="s">
        <v>1208</v>
      </c>
    </row>
    <row r="243" spans="2:8" x14ac:dyDescent="0.25">
      <c r="B243" s="89" t="s">
        <v>80</v>
      </c>
      <c r="C243" s="89" t="s">
        <v>81</v>
      </c>
      <c r="D243" s="89" t="s">
        <v>35</v>
      </c>
      <c r="E243" s="89" t="s">
        <v>332</v>
      </c>
      <c r="F243" s="89" t="s">
        <v>833</v>
      </c>
      <c r="G243" s="89" t="s">
        <v>1203</v>
      </c>
      <c r="H243" s="93" t="s">
        <v>1209</v>
      </c>
    </row>
    <row r="244" spans="2:8" x14ac:dyDescent="0.25">
      <c r="B244" s="89" t="s">
        <v>80</v>
      </c>
      <c r="C244" s="89" t="s">
        <v>81</v>
      </c>
      <c r="D244" s="89" t="s">
        <v>35</v>
      </c>
      <c r="E244" s="89" t="s">
        <v>332</v>
      </c>
      <c r="F244" s="89" t="s">
        <v>833</v>
      </c>
      <c r="G244" s="89" t="s">
        <v>1210</v>
      </c>
      <c r="H244" s="93" t="s">
        <v>1211</v>
      </c>
    </row>
    <row r="245" spans="2:8" x14ac:dyDescent="0.25">
      <c r="B245" s="89" t="s">
        <v>80</v>
      </c>
      <c r="C245" s="89" t="s">
        <v>81</v>
      </c>
      <c r="D245" s="89" t="s">
        <v>35</v>
      </c>
      <c r="E245" s="89" t="s">
        <v>332</v>
      </c>
      <c r="F245" s="89" t="s">
        <v>833</v>
      </c>
      <c r="G245" s="89" t="s">
        <v>1203</v>
      </c>
      <c r="H245" s="93" t="s">
        <v>1212</v>
      </c>
    </row>
    <row r="246" spans="2:8" x14ac:dyDescent="0.25">
      <c r="B246" s="89" t="s">
        <v>80</v>
      </c>
      <c r="C246" s="89" t="s">
        <v>81</v>
      </c>
      <c r="D246" s="89" t="s">
        <v>35</v>
      </c>
      <c r="E246" s="89" t="s">
        <v>332</v>
      </c>
      <c r="F246" s="89" t="s">
        <v>833</v>
      </c>
      <c r="G246" s="89" t="s">
        <v>1213</v>
      </c>
      <c r="H246" s="93" t="s">
        <v>1214</v>
      </c>
    </row>
    <row r="247" spans="2:8" x14ac:dyDescent="0.25">
      <c r="B247" s="89" t="s">
        <v>80</v>
      </c>
      <c r="C247" s="89" t="s">
        <v>81</v>
      </c>
      <c r="D247" s="89" t="s">
        <v>35</v>
      </c>
      <c r="E247" s="89" t="s">
        <v>332</v>
      </c>
      <c r="F247" s="89" t="s">
        <v>833</v>
      </c>
      <c r="G247" s="89" t="s">
        <v>1215</v>
      </c>
      <c r="H247" s="93" t="s">
        <v>1216</v>
      </c>
    </row>
    <row r="248" spans="2:8" x14ac:dyDescent="0.25">
      <c r="B248" s="89" t="s">
        <v>80</v>
      </c>
      <c r="C248" s="89" t="s">
        <v>81</v>
      </c>
      <c r="D248" s="89" t="s">
        <v>35</v>
      </c>
      <c r="E248" s="89" t="s">
        <v>332</v>
      </c>
      <c r="F248" s="89" t="s">
        <v>833</v>
      </c>
      <c r="G248" s="89" t="s">
        <v>1217</v>
      </c>
      <c r="H248" s="93" t="s">
        <v>1218</v>
      </c>
    </row>
    <row r="249" spans="2:8" x14ac:dyDescent="0.25">
      <c r="B249" s="89" t="s">
        <v>80</v>
      </c>
      <c r="C249" s="89" t="s">
        <v>81</v>
      </c>
      <c r="D249" s="89" t="s">
        <v>35</v>
      </c>
      <c r="E249" s="89" t="s">
        <v>332</v>
      </c>
      <c r="F249" s="89" t="s">
        <v>833</v>
      </c>
      <c r="G249" s="89" t="s">
        <v>337</v>
      </c>
      <c r="H249" s="93" t="s">
        <v>338</v>
      </c>
    </row>
    <row r="250" spans="2:8" x14ac:dyDescent="0.25">
      <c r="B250" s="89" t="s">
        <v>80</v>
      </c>
      <c r="C250" s="89" t="s">
        <v>81</v>
      </c>
      <c r="D250" s="89" t="s">
        <v>35</v>
      </c>
      <c r="E250" s="89" t="s">
        <v>332</v>
      </c>
      <c r="F250" s="89" t="s">
        <v>833</v>
      </c>
      <c r="G250" s="89" t="s">
        <v>339</v>
      </c>
      <c r="H250" s="93" t="s">
        <v>340</v>
      </c>
    </row>
    <row r="251" spans="2:8" x14ac:dyDescent="0.25">
      <c r="B251" s="89" t="s">
        <v>80</v>
      </c>
      <c r="C251" s="89" t="s">
        <v>81</v>
      </c>
      <c r="D251" s="89" t="s">
        <v>35</v>
      </c>
      <c r="E251" s="89" t="s">
        <v>332</v>
      </c>
      <c r="F251" s="89" t="s">
        <v>833</v>
      </c>
      <c r="G251" s="89" t="s">
        <v>1219</v>
      </c>
      <c r="H251" s="93" t="s">
        <v>1220</v>
      </c>
    </row>
    <row r="252" spans="2:8" x14ac:dyDescent="0.25">
      <c r="B252" s="89" t="s">
        <v>80</v>
      </c>
      <c r="C252" s="89" t="s">
        <v>81</v>
      </c>
      <c r="D252" s="89" t="s">
        <v>35</v>
      </c>
      <c r="E252" s="89" t="s">
        <v>332</v>
      </c>
      <c r="F252" s="89" t="s">
        <v>833</v>
      </c>
      <c r="G252" s="89" t="s">
        <v>1221</v>
      </c>
      <c r="H252" s="93" t="s">
        <v>1222</v>
      </c>
    </row>
    <row r="253" spans="2:8" x14ac:dyDescent="0.25">
      <c r="B253" s="89" t="s">
        <v>80</v>
      </c>
      <c r="C253" s="89" t="s">
        <v>81</v>
      </c>
      <c r="D253" s="89" t="s">
        <v>35</v>
      </c>
      <c r="E253" s="89" t="s">
        <v>332</v>
      </c>
      <c r="F253" s="89" t="s">
        <v>833</v>
      </c>
      <c r="G253" s="89" t="s">
        <v>1223</v>
      </c>
      <c r="H253" s="93" t="s">
        <v>1224</v>
      </c>
    </row>
    <row r="254" spans="2:8" x14ac:dyDescent="0.25">
      <c r="B254" s="89" t="s">
        <v>80</v>
      </c>
      <c r="C254" s="89" t="s">
        <v>81</v>
      </c>
      <c r="D254" s="89" t="s">
        <v>35</v>
      </c>
      <c r="E254" s="89" t="s">
        <v>332</v>
      </c>
      <c r="F254" s="89" t="s">
        <v>833</v>
      </c>
      <c r="G254" s="89" t="s">
        <v>1225</v>
      </c>
      <c r="H254" s="93" t="s">
        <v>1226</v>
      </c>
    </row>
    <row r="255" spans="2:8" x14ac:dyDescent="0.25">
      <c r="B255" s="89" t="s">
        <v>80</v>
      </c>
      <c r="C255" s="89" t="s">
        <v>81</v>
      </c>
      <c r="D255" s="89" t="s">
        <v>35</v>
      </c>
      <c r="E255" s="89" t="s">
        <v>347</v>
      </c>
      <c r="F255" s="89" t="s">
        <v>834</v>
      </c>
      <c r="G255" s="89" t="s">
        <v>1227</v>
      </c>
      <c r="H255" s="93" t="s">
        <v>1228</v>
      </c>
    </row>
    <row r="256" spans="2:8" x14ac:dyDescent="0.25">
      <c r="B256" s="89" t="s">
        <v>80</v>
      </c>
      <c r="C256" s="89" t="s">
        <v>81</v>
      </c>
      <c r="D256" s="89" t="s">
        <v>35</v>
      </c>
      <c r="E256" s="89" t="s">
        <v>347</v>
      </c>
      <c r="F256" s="89" t="s">
        <v>834</v>
      </c>
      <c r="G256" s="89" t="s">
        <v>1229</v>
      </c>
      <c r="H256" s="93" t="s">
        <v>353</v>
      </c>
    </row>
    <row r="257" spans="2:8" x14ac:dyDescent="0.25">
      <c r="B257" s="89" t="s">
        <v>80</v>
      </c>
      <c r="C257" s="89" t="s">
        <v>81</v>
      </c>
      <c r="D257" s="89" t="s">
        <v>35</v>
      </c>
      <c r="E257" s="89" t="s">
        <v>347</v>
      </c>
      <c r="F257" s="89" t="s">
        <v>834</v>
      </c>
      <c r="G257" s="89" t="s">
        <v>1230</v>
      </c>
      <c r="H257" s="93" t="s">
        <v>1231</v>
      </c>
    </row>
    <row r="258" spans="2:8" x14ac:dyDescent="0.25">
      <c r="B258" s="89" t="s">
        <v>80</v>
      </c>
      <c r="C258" s="89" t="s">
        <v>81</v>
      </c>
      <c r="D258" s="89" t="s">
        <v>35</v>
      </c>
      <c r="E258" s="89" t="s">
        <v>347</v>
      </c>
      <c r="F258" s="89" t="s">
        <v>834</v>
      </c>
      <c r="G258" s="89" t="s">
        <v>1232</v>
      </c>
      <c r="H258" s="93" t="s">
        <v>1233</v>
      </c>
    </row>
    <row r="259" spans="2:8" x14ac:dyDescent="0.25">
      <c r="B259" s="89" t="s">
        <v>80</v>
      </c>
      <c r="C259" s="89" t="s">
        <v>81</v>
      </c>
      <c r="D259" s="89" t="s">
        <v>35</v>
      </c>
      <c r="E259" s="89" t="s">
        <v>347</v>
      </c>
      <c r="F259" s="89" t="s">
        <v>834</v>
      </c>
      <c r="G259" s="89" t="s">
        <v>1234</v>
      </c>
      <c r="H259" s="93" t="s">
        <v>1235</v>
      </c>
    </row>
    <row r="260" spans="2:8" x14ac:dyDescent="0.25">
      <c r="B260" s="89" t="s">
        <v>80</v>
      </c>
      <c r="C260" s="89" t="s">
        <v>81</v>
      </c>
      <c r="D260" s="89" t="s">
        <v>35</v>
      </c>
      <c r="E260" s="89" t="s">
        <v>347</v>
      </c>
      <c r="F260" s="89" t="s">
        <v>834</v>
      </c>
      <c r="G260" s="89" t="s">
        <v>1236</v>
      </c>
      <c r="H260" s="93" t="s">
        <v>1237</v>
      </c>
    </row>
    <row r="261" spans="2:8" x14ac:dyDescent="0.25">
      <c r="B261" s="89" t="s">
        <v>80</v>
      </c>
      <c r="C261" s="89" t="s">
        <v>81</v>
      </c>
      <c r="D261" s="89" t="s">
        <v>35</v>
      </c>
      <c r="E261" s="89" t="s">
        <v>347</v>
      </c>
      <c r="F261" s="89" t="s">
        <v>834</v>
      </c>
      <c r="G261" s="89" t="s">
        <v>1238</v>
      </c>
      <c r="H261" s="93" t="s">
        <v>1239</v>
      </c>
    </row>
    <row r="262" spans="2:8" x14ac:dyDescent="0.25">
      <c r="B262" s="89" t="s">
        <v>80</v>
      </c>
      <c r="C262" s="89" t="s">
        <v>81</v>
      </c>
      <c r="D262" s="89" t="s">
        <v>35</v>
      </c>
      <c r="E262" s="89" t="s">
        <v>347</v>
      </c>
      <c r="F262" s="89" t="s">
        <v>834</v>
      </c>
      <c r="G262" s="89" t="s">
        <v>1240</v>
      </c>
      <c r="H262" s="93" t="s">
        <v>1241</v>
      </c>
    </row>
    <row r="263" spans="2:8" x14ac:dyDescent="0.25">
      <c r="B263" s="89" t="s">
        <v>80</v>
      </c>
      <c r="C263" s="89" t="s">
        <v>81</v>
      </c>
      <c r="D263" s="89" t="s">
        <v>35</v>
      </c>
      <c r="E263" s="89" t="s">
        <v>347</v>
      </c>
      <c r="F263" s="89" t="s">
        <v>834</v>
      </c>
      <c r="G263" s="89" t="s">
        <v>1242</v>
      </c>
      <c r="H263" s="93" t="s">
        <v>1243</v>
      </c>
    </row>
    <row r="264" spans="2:8" x14ac:dyDescent="0.25">
      <c r="B264" s="89" t="s">
        <v>80</v>
      </c>
      <c r="C264" s="89" t="s">
        <v>81</v>
      </c>
      <c r="D264" s="89" t="s">
        <v>35</v>
      </c>
      <c r="E264" s="89" t="s">
        <v>347</v>
      </c>
      <c r="F264" s="89" t="s">
        <v>834</v>
      </c>
      <c r="G264" s="89" t="s">
        <v>1244</v>
      </c>
      <c r="H264" s="93" t="s">
        <v>1245</v>
      </c>
    </row>
    <row r="265" spans="2:8" x14ac:dyDescent="0.25">
      <c r="B265" s="89" t="s">
        <v>80</v>
      </c>
      <c r="C265" s="89" t="s">
        <v>81</v>
      </c>
      <c r="D265" s="89" t="s">
        <v>35</v>
      </c>
      <c r="E265" s="89" t="s">
        <v>347</v>
      </c>
      <c r="F265" s="89" t="s">
        <v>834</v>
      </c>
      <c r="G265" s="89" t="s">
        <v>348</v>
      </c>
      <c r="H265" s="93" t="s">
        <v>349</v>
      </c>
    </row>
    <row r="266" spans="2:8" x14ac:dyDescent="0.25">
      <c r="B266" s="89" t="s">
        <v>80</v>
      </c>
      <c r="C266" s="89" t="s">
        <v>81</v>
      </c>
      <c r="D266" s="89" t="s">
        <v>35</v>
      </c>
      <c r="E266" s="89" t="s">
        <v>347</v>
      </c>
      <c r="F266" s="89" t="s">
        <v>834</v>
      </c>
      <c r="G266" s="89" t="s">
        <v>350</v>
      </c>
      <c r="H266" s="93" t="s">
        <v>351</v>
      </c>
    </row>
    <row r="267" spans="2:8" x14ac:dyDescent="0.25">
      <c r="B267" s="89" t="s">
        <v>80</v>
      </c>
      <c r="C267" s="89" t="s">
        <v>81</v>
      </c>
      <c r="D267" s="89" t="s">
        <v>35</v>
      </c>
      <c r="E267" s="89" t="s">
        <v>347</v>
      </c>
      <c r="F267" s="89" t="s">
        <v>835</v>
      </c>
      <c r="G267" s="89" t="s">
        <v>1232</v>
      </c>
      <c r="H267" s="93" t="s">
        <v>1246</v>
      </c>
    </row>
    <row r="268" spans="2:8" x14ac:dyDescent="0.25">
      <c r="B268" s="89" t="s">
        <v>80</v>
      </c>
      <c r="C268" s="89" t="s">
        <v>81</v>
      </c>
      <c r="D268" s="89" t="s">
        <v>35</v>
      </c>
      <c r="E268" s="89" t="s">
        <v>347</v>
      </c>
      <c r="F268" s="89" t="s">
        <v>835</v>
      </c>
      <c r="G268" s="89" t="s">
        <v>1247</v>
      </c>
      <c r="H268" s="93" t="s">
        <v>355</v>
      </c>
    </row>
    <row r="269" spans="2:8" x14ac:dyDescent="0.25">
      <c r="B269" s="89" t="s">
        <v>80</v>
      </c>
      <c r="C269" s="89" t="s">
        <v>81</v>
      </c>
      <c r="D269" s="89" t="s">
        <v>35</v>
      </c>
      <c r="E269" s="89" t="s">
        <v>347</v>
      </c>
      <c r="F269" s="89" t="s">
        <v>835</v>
      </c>
      <c r="G269" s="89" t="s">
        <v>1248</v>
      </c>
      <c r="H269" s="93" t="s">
        <v>1249</v>
      </c>
    </row>
    <row r="270" spans="2:8" x14ac:dyDescent="0.25">
      <c r="B270" s="89" t="s">
        <v>80</v>
      </c>
      <c r="C270" s="89" t="s">
        <v>81</v>
      </c>
      <c r="D270" s="89" t="s">
        <v>35</v>
      </c>
      <c r="E270" s="89" t="s">
        <v>347</v>
      </c>
      <c r="F270" s="89" t="s">
        <v>835</v>
      </c>
      <c r="G270" s="89" t="s">
        <v>1250</v>
      </c>
      <c r="H270" s="93" t="s">
        <v>1251</v>
      </c>
    </row>
    <row r="271" spans="2:8" x14ac:dyDescent="0.25">
      <c r="B271" s="89" t="s">
        <v>80</v>
      </c>
      <c r="C271" s="89" t="s">
        <v>81</v>
      </c>
      <c r="D271" s="89" t="s">
        <v>35</v>
      </c>
      <c r="E271" s="89" t="s">
        <v>347</v>
      </c>
      <c r="F271" s="89" t="s">
        <v>836</v>
      </c>
      <c r="G271" s="89" t="s">
        <v>836</v>
      </c>
      <c r="H271" s="93" t="s">
        <v>1252</v>
      </c>
    </row>
    <row r="272" spans="2:8" x14ac:dyDescent="0.25">
      <c r="B272" s="89" t="s">
        <v>80</v>
      </c>
      <c r="C272" s="89" t="s">
        <v>81</v>
      </c>
      <c r="D272" s="89" t="s">
        <v>35</v>
      </c>
      <c r="E272" s="89" t="s">
        <v>347</v>
      </c>
      <c r="F272" s="89" t="s">
        <v>836</v>
      </c>
      <c r="G272" s="89" t="s">
        <v>836</v>
      </c>
      <c r="H272" s="93" t="s">
        <v>1253</v>
      </c>
    </row>
    <row r="273" spans="2:8" x14ac:dyDescent="0.25">
      <c r="B273" s="89" t="s">
        <v>80</v>
      </c>
      <c r="C273" s="89" t="s">
        <v>81</v>
      </c>
      <c r="D273" s="89" t="s">
        <v>35</v>
      </c>
      <c r="E273" s="89" t="s">
        <v>347</v>
      </c>
      <c r="F273" s="89" t="s">
        <v>836</v>
      </c>
      <c r="G273" s="89" t="s">
        <v>836</v>
      </c>
      <c r="H273" s="93" t="s">
        <v>1254</v>
      </c>
    </row>
    <row r="274" spans="2:8" x14ac:dyDescent="0.25">
      <c r="B274" s="89" t="s">
        <v>80</v>
      </c>
      <c r="C274" s="89" t="s">
        <v>81</v>
      </c>
      <c r="D274" s="89" t="s">
        <v>35</v>
      </c>
      <c r="E274" s="89" t="s">
        <v>347</v>
      </c>
      <c r="F274" s="89" t="s">
        <v>836</v>
      </c>
      <c r="G274" s="89" t="s">
        <v>836</v>
      </c>
      <c r="H274" s="93" t="s">
        <v>1255</v>
      </c>
    </row>
    <row r="275" spans="2:8" x14ac:dyDescent="0.25">
      <c r="B275" s="89" t="s">
        <v>80</v>
      </c>
      <c r="C275" s="89" t="s">
        <v>81</v>
      </c>
      <c r="D275" s="89" t="s">
        <v>35</v>
      </c>
      <c r="E275" s="89" t="s">
        <v>347</v>
      </c>
      <c r="F275" s="89" t="s">
        <v>836</v>
      </c>
      <c r="G275" s="89" t="s">
        <v>836</v>
      </c>
      <c r="H275" s="93" t="s">
        <v>1256</v>
      </c>
    </row>
    <row r="276" spans="2:8" x14ac:dyDescent="0.25">
      <c r="B276" s="89" t="s">
        <v>80</v>
      </c>
      <c r="C276" s="89" t="s">
        <v>81</v>
      </c>
      <c r="D276" s="89" t="s">
        <v>35</v>
      </c>
      <c r="E276" s="89" t="s">
        <v>347</v>
      </c>
      <c r="F276" s="89" t="s">
        <v>836</v>
      </c>
      <c r="G276" s="89" t="s">
        <v>1257</v>
      </c>
      <c r="H276" s="93" t="s">
        <v>1258</v>
      </c>
    </row>
    <row r="277" spans="2:8" x14ac:dyDescent="0.25">
      <c r="B277" s="89" t="s">
        <v>80</v>
      </c>
      <c r="C277" s="89" t="s">
        <v>81</v>
      </c>
      <c r="D277" s="89" t="s">
        <v>35</v>
      </c>
      <c r="E277" s="89" t="s">
        <v>347</v>
      </c>
      <c r="F277" s="89" t="s">
        <v>836</v>
      </c>
      <c r="G277" s="89" t="s">
        <v>1259</v>
      </c>
      <c r="H277" s="93" t="s">
        <v>1260</v>
      </c>
    </row>
    <row r="278" spans="2:8" x14ac:dyDescent="0.25">
      <c r="B278" s="89" t="s">
        <v>80</v>
      </c>
      <c r="C278" s="89" t="s">
        <v>81</v>
      </c>
      <c r="D278" s="89" t="s">
        <v>35</v>
      </c>
      <c r="E278" s="89" t="s">
        <v>347</v>
      </c>
      <c r="F278" s="89" t="s">
        <v>836</v>
      </c>
      <c r="G278" s="89" t="s">
        <v>1261</v>
      </c>
      <c r="H278" s="93" t="s">
        <v>1262</v>
      </c>
    </row>
    <row r="279" spans="2:8" x14ac:dyDescent="0.25">
      <c r="B279" s="89" t="s">
        <v>80</v>
      </c>
      <c r="C279" s="89" t="s">
        <v>81</v>
      </c>
      <c r="D279" s="89" t="s">
        <v>35</v>
      </c>
      <c r="E279" s="89" t="s">
        <v>347</v>
      </c>
      <c r="F279" s="89" t="s">
        <v>836</v>
      </c>
      <c r="G279" s="89" t="s">
        <v>1263</v>
      </c>
      <c r="H279" s="93" t="s">
        <v>1264</v>
      </c>
    </row>
    <row r="280" spans="2:8" x14ac:dyDescent="0.25">
      <c r="B280" s="89" t="s">
        <v>80</v>
      </c>
      <c r="C280" s="89" t="s">
        <v>81</v>
      </c>
      <c r="D280" s="89" t="s">
        <v>35</v>
      </c>
      <c r="E280" s="89" t="s">
        <v>347</v>
      </c>
      <c r="F280" s="89" t="s">
        <v>836</v>
      </c>
      <c r="G280" s="89" t="s">
        <v>1265</v>
      </c>
      <c r="H280" s="93" t="s">
        <v>1266</v>
      </c>
    </row>
    <row r="281" spans="2:8" x14ac:dyDescent="0.25">
      <c r="B281" s="89" t="s">
        <v>80</v>
      </c>
      <c r="C281" s="89" t="s">
        <v>81</v>
      </c>
      <c r="D281" s="89" t="s">
        <v>35</v>
      </c>
      <c r="E281" s="89" t="s">
        <v>347</v>
      </c>
      <c r="F281" s="89" t="s">
        <v>836</v>
      </c>
      <c r="G281" s="89" t="s">
        <v>1267</v>
      </c>
      <c r="H281" s="93" t="s">
        <v>1268</v>
      </c>
    </row>
    <row r="282" spans="2:8" x14ac:dyDescent="0.25">
      <c r="B282" s="89" t="s">
        <v>80</v>
      </c>
      <c r="C282" s="89" t="s">
        <v>81</v>
      </c>
      <c r="D282" s="89" t="s">
        <v>35</v>
      </c>
      <c r="E282" s="89" t="s">
        <v>347</v>
      </c>
      <c r="F282" s="89" t="s">
        <v>836</v>
      </c>
      <c r="G282" s="89" t="s">
        <v>1269</v>
      </c>
      <c r="H282" s="93" t="s">
        <v>1270</v>
      </c>
    </row>
    <row r="283" spans="2:8" x14ac:dyDescent="0.25">
      <c r="B283" s="89" t="s">
        <v>80</v>
      </c>
      <c r="C283" s="89" t="s">
        <v>81</v>
      </c>
      <c r="D283" s="89" t="s">
        <v>35</v>
      </c>
      <c r="E283" s="89" t="s">
        <v>347</v>
      </c>
      <c r="F283" s="89" t="s">
        <v>836</v>
      </c>
      <c r="G283" s="89" t="s">
        <v>1271</v>
      </c>
      <c r="H283" s="93" t="s">
        <v>1272</v>
      </c>
    </row>
    <row r="284" spans="2:8" x14ac:dyDescent="0.25">
      <c r="B284" s="89" t="s">
        <v>80</v>
      </c>
      <c r="C284" s="89" t="s">
        <v>81</v>
      </c>
      <c r="D284" s="89" t="s">
        <v>35</v>
      </c>
      <c r="E284" s="89" t="s">
        <v>347</v>
      </c>
      <c r="F284" s="89" t="s">
        <v>836</v>
      </c>
      <c r="G284" s="89" t="s">
        <v>1273</v>
      </c>
      <c r="H284" s="93" t="s">
        <v>1274</v>
      </c>
    </row>
    <row r="285" spans="2:8" x14ac:dyDescent="0.25">
      <c r="B285" s="89" t="s">
        <v>80</v>
      </c>
      <c r="C285" s="89" t="s">
        <v>81</v>
      </c>
      <c r="D285" s="89" t="s">
        <v>35</v>
      </c>
      <c r="E285" s="89" t="s">
        <v>347</v>
      </c>
      <c r="F285" s="89" t="s">
        <v>836</v>
      </c>
      <c r="G285" s="89" t="s">
        <v>1275</v>
      </c>
      <c r="H285" s="93" t="s">
        <v>1276</v>
      </c>
    </row>
    <row r="286" spans="2:8" x14ac:dyDescent="0.25">
      <c r="B286" s="89" t="s">
        <v>80</v>
      </c>
      <c r="C286" s="89" t="s">
        <v>81</v>
      </c>
      <c r="D286" s="89" t="s">
        <v>35</v>
      </c>
      <c r="E286" s="89" t="s">
        <v>347</v>
      </c>
      <c r="F286" s="89" t="s">
        <v>836</v>
      </c>
      <c r="G286" s="89" t="s">
        <v>1277</v>
      </c>
      <c r="H286" s="93" t="s">
        <v>1278</v>
      </c>
    </row>
    <row r="287" spans="2:8" x14ac:dyDescent="0.25">
      <c r="B287" s="89" t="s">
        <v>80</v>
      </c>
      <c r="C287" s="89" t="s">
        <v>81</v>
      </c>
      <c r="D287" s="89" t="s">
        <v>35</v>
      </c>
      <c r="E287" s="89" t="s">
        <v>347</v>
      </c>
      <c r="F287" s="89" t="s">
        <v>836</v>
      </c>
      <c r="G287" s="89" t="s">
        <v>1279</v>
      </c>
      <c r="H287" s="93" t="s">
        <v>1280</v>
      </c>
    </row>
    <row r="288" spans="2:8" x14ac:dyDescent="0.25">
      <c r="B288" s="89" t="s">
        <v>80</v>
      </c>
      <c r="C288" s="89" t="s">
        <v>81</v>
      </c>
      <c r="D288" s="89" t="s">
        <v>35</v>
      </c>
      <c r="E288" s="89" t="s">
        <v>347</v>
      </c>
      <c r="F288" s="89" t="s">
        <v>836</v>
      </c>
      <c r="G288" s="89" t="s">
        <v>1281</v>
      </c>
      <c r="H288" s="93" t="s">
        <v>385</v>
      </c>
    </row>
    <row r="289" spans="2:8" x14ac:dyDescent="0.25">
      <c r="B289" s="89" t="s">
        <v>80</v>
      </c>
      <c r="C289" s="89" t="s">
        <v>81</v>
      </c>
      <c r="D289" s="89" t="s">
        <v>35</v>
      </c>
      <c r="E289" s="89" t="s">
        <v>347</v>
      </c>
      <c r="F289" s="89" t="s">
        <v>836</v>
      </c>
      <c r="G289" s="89" t="s">
        <v>1282</v>
      </c>
      <c r="H289" s="93" t="s">
        <v>381</v>
      </c>
    </row>
    <row r="290" spans="2:8" x14ac:dyDescent="0.25">
      <c r="B290" s="89" t="s">
        <v>80</v>
      </c>
      <c r="C290" s="89" t="s">
        <v>81</v>
      </c>
      <c r="D290" s="89" t="s">
        <v>35</v>
      </c>
      <c r="E290" s="89" t="s">
        <v>347</v>
      </c>
      <c r="F290" s="89" t="s">
        <v>836</v>
      </c>
      <c r="G290" s="89" t="s">
        <v>1283</v>
      </c>
      <c r="H290" s="93" t="s">
        <v>1284</v>
      </c>
    </row>
    <row r="291" spans="2:8" x14ac:dyDescent="0.25">
      <c r="B291" s="89" t="s">
        <v>80</v>
      </c>
      <c r="C291" s="89" t="s">
        <v>81</v>
      </c>
      <c r="D291" s="89" t="s">
        <v>35</v>
      </c>
      <c r="E291" s="89" t="s">
        <v>347</v>
      </c>
      <c r="F291" s="89" t="s">
        <v>836</v>
      </c>
      <c r="G291" s="89" t="s">
        <v>1285</v>
      </c>
      <c r="H291" s="93" t="s">
        <v>379</v>
      </c>
    </row>
    <row r="292" spans="2:8" x14ac:dyDescent="0.25">
      <c r="B292" s="89" t="s">
        <v>80</v>
      </c>
      <c r="C292" s="89" t="s">
        <v>81</v>
      </c>
      <c r="D292" s="89" t="s">
        <v>35</v>
      </c>
      <c r="E292" s="89" t="s">
        <v>347</v>
      </c>
      <c r="F292" s="89" t="s">
        <v>836</v>
      </c>
      <c r="G292" s="89" t="s">
        <v>1286</v>
      </c>
      <c r="H292" s="93" t="s">
        <v>373</v>
      </c>
    </row>
    <row r="293" spans="2:8" x14ac:dyDescent="0.25">
      <c r="B293" s="89" t="s">
        <v>80</v>
      </c>
      <c r="C293" s="89" t="s">
        <v>81</v>
      </c>
      <c r="D293" s="89" t="s">
        <v>35</v>
      </c>
      <c r="E293" s="89" t="s">
        <v>347</v>
      </c>
      <c r="F293" s="89" t="s">
        <v>836</v>
      </c>
      <c r="G293" s="89" t="s">
        <v>1287</v>
      </c>
      <c r="H293" s="93" t="s">
        <v>375</v>
      </c>
    </row>
    <row r="294" spans="2:8" x14ac:dyDescent="0.25">
      <c r="B294" s="89" t="s">
        <v>80</v>
      </c>
      <c r="C294" s="89" t="s">
        <v>81</v>
      </c>
      <c r="D294" s="89" t="s">
        <v>35</v>
      </c>
      <c r="E294" s="89" t="s">
        <v>347</v>
      </c>
      <c r="F294" s="89" t="s">
        <v>836</v>
      </c>
      <c r="G294" s="89" t="s">
        <v>1288</v>
      </c>
      <c r="H294" s="93" t="s">
        <v>1289</v>
      </c>
    </row>
    <row r="295" spans="2:8" x14ac:dyDescent="0.25">
      <c r="B295" s="89" t="s">
        <v>80</v>
      </c>
      <c r="C295" s="89" t="s">
        <v>81</v>
      </c>
      <c r="D295" s="89" t="s">
        <v>35</v>
      </c>
      <c r="E295" s="89" t="s">
        <v>347</v>
      </c>
      <c r="F295" s="89" t="s">
        <v>836</v>
      </c>
      <c r="G295" s="89" t="s">
        <v>1290</v>
      </c>
      <c r="H295" s="93" t="s">
        <v>371</v>
      </c>
    </row>
    <row r="296" spans="2:8" x14ac:dyDescent="0.25">
      <c r="B296" s="89" t="s">
        <v>80</v>
      </c>
      <c r="C296" s="89" t="s">
        <v>81</v>
      </c>
      <c r="D296" s="89" t="s">
        <v>35</v>
      </c>
      <c r="E296" s="89" t="s">
        <v>347</v>
      </c>
      <c r="F296" s="89" t="s">
        <v>836</v>
      </c>
      <c r="G296" s="89" t="s">
        <v>1291</v>
      </c>
      <c r="H296" s="93" t="s">
        <v>1292</v>
      </c>
    </row>
    <row r="297" spans="2:8" x14ac:dyDescent="0.25">
      <c r="B297" s="89" t="s">
        <v>80</v>
      </c>
      <c r="C297" s="89" t="s">
        <v>81</v>
      </c>
      <c r="D297" s="89" t="s">
        <v>35</v>
      </c>
      <c r="E297" s="89" t="s">
        <v>347</v>
      </c>
      <c r="F297" s="89" t="s">
        <v>836</v>
      </c>
      <c r="G297" s="89" t="s">
        <v>1293</v>
      </c>
      <c r="H297" s="93" t="s">
        <v>367</v>
      </c>
    </row>
    <row r="298" spans="2:8" x14ac:dyDescent="0.25">
      <c r="B298" s="89" t="s">
        <v>80</v>
      </c>
      <c r="C298" s="89" t="s">
        <v>81</v>
      </c>
      <c r="D298" s="89" t="s">
        <v>35</v>
      </c>
      <c r="E298" s="89" t="s">
        <v>347</v>
      </c>
      <c r="F298" s="89" t="s">
        <v>836</v>
      </c>
      <c r="G298" s="89" t="s">
        <v>1294</v>
      </c>
      <c r="H298" s="93" t="s">
        <v>365</v>
      </c>
    </row>
    <row r="299" spans="2:8" x14ac:dyDescent="0.25">
      <c r="B299" s="89" t="s">
        <v>80</v>
      </c>
      <c r="C299" s="89" t="s">
        <v>81</v>
      </c>
      <c r="D299" s="89" t="s">
        <v>35</v>
      </c>
      <c r="E299" s="89" t="s">
        <v>347</v>
      </c>
      <c r="F299" s="89" t="s">
        <v>836</v>
      </c>
      <c r="G299" s="89" t="s">
        <v>1295</v>
      </c>
      <c r="H299" s="93" t="s">
        <v>1296</v>
      </c>
    </row>
    <row r="300" spans="2:8" x14ac:dyDescent="0.25">
      <c r="B300" s="89" t="s">
        <v>80</v>
      </c>
      <c r="C300" s="89" t="s">
        <v>81</v>
      </c>
      <c r="D300" s="89" t="s">
        <v>35</v>
      </c>
      <c r="E300" s="89" t="s">
        <v>347</v>
      </c>
      <c r="F300" s="89" t="s">
        <v>836</v>
      </c>
      <c r="G300" s="89" t="s">
        <v>1297</v>
      </c>
      <c r="H300" s="93" t="s">
        <v>1298</v>
      </c>
    </row>
    <row r="301" spans="2:8" x14ac:dyDescent="0.25">
      <c r="B301" s="89" t="s">
        <v>80</v>
      </c>
      <c r="C301" s="89" t="s">
        <v>81</v>
      </c>
      <c r="D301" s="89" t="s">
        <v>35</v>
      </c>
      <c r="E301" s="89" t="s">
        <v>347</v>
      </c>
      <c r="F301" s="89" t="s">
        <v>836</v>
      </c>
      <c r="G301" s="89" t="s">
        <v>1299</v>
      </c>
      <c r="H301" s="93" t="s">
        <v>1300</v>
      </c>
    </row>
    <row r="302" spans="2:8" x14ac:dyDescent="0.25">
      <c r="B302" s="89" t="s">
        <v>80</v>
      </c>
      <c r="C302" s="89" t="s">
        <v>81</v>
      </c>
      <c r="D302" s="89" t="s">
        <v>35</v>
      </c>
      <c r="E302" s="89" t="s">
        <v>347</v>
      </c>
      <c r="F302" s="89" t="s">
        <v>836</v>
      </c>
      <c r="G302" s="89" t="s">
        <v>1301</v>
      </c>
      <c r="H302" s="93" t="s">
        <v>1302</v>
      </c>
    </row>
    <row r="303" spans="2:8" x14ac:dyDescent="0.25">
      <c r="B303" s="89" t="s">
        <v>80</v>
      </c>
      <c r="C303" s="89" t="s">
        <v>81</v>
      </c>
      <c r="D303" s="89" t="s">
        <v>35</v>
      </c>
      <c r="E303" s="89" t="s">
        <v>347</v>
      </c>
      <c r="F303" s="89" t="s">
        <v>836</v>
      </c>
      <c r="G303" s="89" t="s">
        <v>1303</v>
      </c>
      <c r="H303" s="93" t="s">
        <v>1304</v>
      </c>
    </row>
    <row r="304" spans="2:8" x14ac:dyDescent="0.25">
      <c r="B304" s="89" t="s">
        <v>80</v>
      </c>
      <c r="C304" s="89" t="s">
        <v>81</v>
      </c>
      <c r="D304" s="89" t="s">
        <v>35</v>
      </c>
      <c r="E304" s="89" t="s">
        <v>347</v>
      </c>
      <c r="F304" s="89" t="s">
        <v>836</v>
      </c>
      <c r="G304" s="89" t="s">
        <v>1305</v>
      </c>
      <c r="H304" s="93" t="s">
        <v>1306</v>
      </c>
    </row>
    <row r="305" spans="2:8" x14ac:dyDescent="0.25">
      <c r="B305" s="89" t="s">
        <v>80</v>
      </c>
      <c r="C305" s="89" t="s">
        <v>81</v>
      </c>
      <c r="D305" s="89" t="s">
        <v>35</v>
      </c>
      <c r="E305" s="89" t="s">
        <v>347</v>
      </c>
      <c r="F305" s="89" t="s">
        <v>836</v>
      </c>
      <c r="G305" s="89" t="s">
        <v>1307</v>
      </c>
      <c r="H305" s="93" t="s">
        <v>1308</v>
      </c>
    </row>
    <row r="306" spans="2:8" x14ac:dyDescent="0.25">
      <c r="B306" s="89" t="s">
        <v>80</v>
      </c>
      <c r="C306" s="89" t="s">
        <v>81</v>
      </c>
      <c r="D306" s="89" t="s">
        <v>35</v>
      </c>
      <c r="E306" s="89" t="s">
        <v>347</v>
      </c>
      <c r="F306" s="89" t="s">
        <v>836</v>
      </c>
      <c r="G306" s="89" t="s">
        <v>376</v>
      </c>
      <c r="H306" s="93" t="s">
        <v>377</v>
      </c>
    </row>
    <row r="307" spans="2:8" x14ac:dyDescent="0.25">
      <c r="B307" s="89" t="s">
        <v>80</v>
      </c>
      <c r="C307" s="89" t="s">
        <v>81</v>
      </c>
      <c r="D307" s="89" t="s">
        <v>35</v>
      </c>
      <c r="E307" s="89" t="s">
        <v>347</v>
      </c>
      <c r="F307" s="89" t="s">
        <v>836</v>
      </c>
      <c r="G307" s="89" t="s">
        <v>382</v>
      </c>
      <c r="H307" s="93" t="s">
        <v>383</v>
      </c>
    </row>
    <row r="308" spans="2:8" x14ac:dyDescent="0.25">
      <c r="B308" s="89" t="s">
        <v>80</v>
      </c>
      <c r="C308" s="89" t="s">
        <v>81</v>
      </c>
      <c r="D308" s="89" t="s">
        <v>35</v>
      </c>
      <c r="E308" s="89" t="s">
        <v>347</v>
      </c>
      <c r="F308" s="89" t="s">
        <v>837</v>
      </c>
      <c r="G308" s="89" t="s">
        <v>386</v>
      </c>
      <c r="H308" s="93" t="s">
        <v>387</v>
      </c>
    </row>
    <row r="309" spans="2:8" x14ac:dyDescent="0.25">
      <c r="B309" s="89" t="s">
        <v>80</v>
      </c>
      <c r="C309" s="89" t="s">
        <v>81</v>
      </c>
      <c r="D309" s="89" t="s">
        <v>35</v>
      </c>
      <c r="E309" s="89" t="s">
        <v>347</v>
      </c>
      <c r="F309" s="89" t="s">
        <v>837</v>
      </c>
      <c r="G309" s="89" t="s">
        <v>388</v>
      </c>
      <c r="H309" s="93" t="s">
        <v>389</v>
      </c>
    </row>
    <row r="310" spans="2:8" x14ac:dyDescent="0.25">
      <c r="B310" s="89" t="s">
        <v>80</v>
      </c>
      <c r="C310" s="89" t="s">
        <v>81</v>
      </c>
      <c r="D310" s="89" t="s">
        <v>35</v>
      </c>
      <c r="E310" s="89" t="s">
        <v>347</v>
      </c>
      <c r="F310" s="89" t="s">
        <v>837</v>
      </c>
      <c r="G310" s="89" t="s">
        <v>1309</v>
      </c>
      <c r="H310" s="93" t="s">
        <v>391</v>
      </c>
    </row>
    <row r="311" spans="2:8" x14ac:dyDescent="0.25">
      <c r="B311" s="89" t="s">
        <v>80</v>
      </c>
      <c r="C311" s="89" t="s">
        <v>81</v>
      </c>
      <c r="D311" s="89" t="s">
        <v>35</v>
      </c>
      <c r="E311" s="89" t="s">
        <v>347</v>
      </c>
      <c r="F311" s="89" t="s">
        <v>838</v>
      </c>
      <c r="G311" s="89" t="s">
        <v>406</v>
      </c>
      <c r="H311" s="93" t="s">
        <v>407</v>
      </c>
    </row>
    <row r="312" spans="2:8" x14ac:dyDescent="0.25">
      <c r="B312" s="89" t="s">
        <v>80</v>
      </c>
      <c r="C312" s="89" t="s">
        <v>81</v>
      </c>
      <c r="D312" s="89" t="s">
        <v>35</v>
      </c>
      <c r="E312" s="89" t="s">
        <v>347</v>
      </c>
      <c r="F312" s="89" t="s">
        <v>838</v>
      </c>
      <c r="G312" s="89" t="s">
        <v>1310</v>
      </c>
      <c r="H312" s="93" t="s">
        <v>1311</v>
      </c>
    </row>
    <row r="313" spans="2:8" x14ac:dyDescent="0.25">
      <c r="B313" s="89" t="s">
        <v>80</v>
      </c>
      <c r="C313" s="89" t="s">
        <v>81</v>
      </c>
      <c r="D313" s="89" t="s">
        <v>35</v>
      </c>
      <c r="E313" s="89" t="s">
        <v>347</v>
      </c>
      <c r="F313" s="89" t="s">
        <v>838</v>
      </c>
      <c r="G313" s="89" t="s">
        <v>1312</v>
      </c>
      <c r="H313" s="93" t="s">
        <v>1313</v>
      </c>
    </row>
    <row r="314" spans="2:8" x14ac:dyDescent="0.25">
      <c r="B314" s="89" t="s">
        <v>80</v>
      </c>
      <c r="C314" s="89" t="s">
        <v>81</v>
      </c>
      <c r="D314" s="89" t="s">
        <v>35</v>
      </c>
      <c r="E314" s="89" t="s">
        <v>347</v>
      </c>
      <c r="F314" s="89" t="s">
        <v>838</v>
      </c>
      <c r="G314" s="89" t="s">
        <v>1314</v>
      </c>
      <c r="H314" s="93" t="s">
        <v>417</v>
      </c>
    </row>
    <row r="315" spans="2:8" x14ac:dyDescent="0.25">
      <c r="B315" s="89" t="s">
        <v>80</v>
      </c>
      <c r="C315" s="89" t="s">
        <v>81</v>
      </c>
      <c r="D315" s="89" t="s">
        <v>35</v>
      </c>
      <c r="E315" s="89" t="s">
        <v>347</v>
      </c>
      <c r="F315" s="89" t="s">
        <v>838</v>
      </c>
      <c r="G315" s="89" t="s">
        <v>1315</v>
      </c>
      <c r="H315" s="93" t="s">
        <v>1316</v>
      </c>
    </row>
    <row r="316" spans="2:8" x14ac:dyDescent="0.25">
      <c r="B316" s="89" t="s">
        <v>80</v>
      </c>
      <c r="C316" s="89" t="s">
        <v>81</v>
      </c>
      <c r="D316" s="89" t="s">
        <v>35</v>
      </c>
      <c r="E316" s="89" t="s">
        <v>347</v>
      </c>
      <c r="F316" s="89" t="s">
        <v>838</v>
      </c>
      <c r="G316" s="89" t="s">
        <v>1317</v>
      </c>
      <c r="H316" s="93" t="s">
        <v>1318</v>
      </c>
    </row>
    <row r="317" spans="2:8" x14ac:dyDescent="0.25">
      <c r="B317" s="89" t="s">
        <v>80</v>
      </c>
      <c r="C317" s="89" t="s">
        <v>81</v>
      </c>
      <c r="D317" s="89" t="s">
        <v>35</v>
      </c>
      <c r="E317" s="89" t="s">
        <v>347</v>
      </c>
      <c r="F317" s="89" t="s">
        <v>838</v>
      </c>
      <c r="G317" s="89" t="s">
        <v>1319</v>
      </c>
      <c r="H317" s="93" t="s">
        <v>1320</v>
      </c>
    </row>
    <row r="318" spans="2:8" x14ac:dyDescent="0.25">
      <c r="B318" s="89" t="s">
        <v>80</v>
      </c>
      <c r="C318" s="89" t="s">
        <v>81</v>
      </c>
      <c r="D318" s="89" t="s">
        <v>35</v>
      </c>
      <c r="E318" s="89" t="s">
        <v>347</v>
      </c>
      <c r="F318" s="89" t="s">
        <v>838</v>
      </c>
      <c r="G318" s="89" t="s">
        <v>1321</v>
      </c>
      <c r="H318" s="93" t="s">
        <v>1322</v>
      </c>
    </row>
    <row r="319" spans="2:8" x14ac:dyDescent="0.25">
      <c r="B319" s="89" t="s">
        <v>80</v>
      </c>
      <c r="C319" s="89" t="s">
        <v>81</v>
      </c>
      <c r="D319" s="89" t="s">
        <v>35</v>
      </c>
      <c r="E319" s="89" t="s">
        <v>347</v>
      </c>
      <c r="F319" s="89" t="s">
        <v>838</v>
      </c>
      <c r="G319" s="89" t="s">
        <v>1323</v>
      </c>
      <c r="H319" s="93" t="s">
        <v>1324</v>
      </c>
    </row>
    <row r="320" spans="2:8" x14ac:dyDescent="0.25">
      <c r="B320" s="89" t="s">
        <v>80</v>
      </c>
      <c r="C320" s="89" t="s">
        <v>81</v>
      </c>
      <c r="D320" s="89" t="s">
        <v>35</v>
      </c>
      <c r="E320" s="89" t="s">
        <v>347</v>
      </c>
      <c r="F320" s="89" t="s">
        <v>838</v>
      </c>
      <c r="G320" s="89" t="s">
        <v>1325</v>
      </c>
      <c r="H320" s="93" t="s">
        <v>1326</v>
      </c>
    </row>
    <row r="321" spans="2:8" x14ac:dyDescent="0.25">
      <c r="B321" s="89" t="s">
        <v>80</v>
      </c>
      <c r="C321" s="89" t="s">
        <v>81</v>
      </c>
      <c r="D321" s="89" t="s">
        <v>35</v>
      </c>
      <c r="E321" s="89" t="s">
        <v>347</v>
      </c>
      <c r="F321" s="89" t="s">
        <v>838</v>
      </c>
      <c r="G321" s="89" t="s">
        <v>1327</v>
      </c>
      <c r="H321" s="93" t="s">
        <v>1328</v>
      </c>
    </row>
    <row r="322" spans="2:8" x14ac:dyDescent="0.25">
      <c r="B322" s="89" t="s">
        <v>80</v>
      </c>
      <c r="C322" s="89" t="s">
        <v>81</v>
      </c>
      <c r="D322" s="89" t="s">
        <v>35</v>
      </c>
      <c r="E322" s="89" t="s">
        <v>347</v>
      </c>
      <c r="F322" s="89" t="s">
        <v>838</v>
      </c>
      <c r="G322" s="89" t="s">
        <v>1329</v>
      </c>
      <c r="H322" s="93" t="s">
        <v>1330</v>
      </c>
    </row>
    <row r="323" spans="2:8" x14ac:dyDescent="0.25">
      <c r="B323" s="89" t="s">
        <v>80</v>
      </c>
      <c r="C323" s="89" t="s">
        <v>81</v>
      </c>
      <c r="D323" s="89" t="s">
        <v>35</v>
      </c>
      <c r="E323" s="89" t="s">
        <v>347</v>
      </c>
      <c r="F323" s="89" t="s">
        <v>838</v>
      </c>
      <c r="G323" s="89" t="s">
        <v>412</v>
      </c>
      <c r="H323" s="93" t="s">
        <v>413</v>
      </c>
    </row>
    <row r="324" spans="2:8" x14ac:dyDescent="0.25">
      <c r="B324" s="89" t="s">
        <v>80</v>
      </c>
      <c r="C324" s="89" t="s">
        <v>81</v>
      </c>
      <c r="D324" s="89" t="s">
        <v>35</v>
      </c>
      <c r="E324" s="89" t="s">
        <v>347</v>
      </c>
      <c r="F324" s="89" t="s">
        <v>838</v>
      </c>
      <c r="G324" s="89" t="s">
        <v>1331</v>
      </c>
      <c r="H324" s="93" t="s">
        <v>361</v>
      </c>
    </row>
    <row r="325" spans="2:8" x14ac:dyDescent="0.25">
      <c r="B325" s="89" t="s">
        <v>80</v>
      </c>
      <c r="C325" s="89" t="s">
        <v>81</v>
      </c>
      <c r="D325" s="89" t="s">
        <v>35</v>
      </c>
      <c r="E325" s="89" t="s">
        <v>347</v>
      </c>
      <c r="F325" s="89" t="s">
        <v>838</v>
      </c>
      <c r="G325" s="89" t="s">
        <v>1332</v>
      </c>
      <c r="H325" s="93" t="s">
        <v>423</v>
      </c>
    </row>
    <row r="326" spans="2:8" x14ac:dyDescent="0.25">
      <c r="B326" s="89" t="s">
        <v>80</v>
      </c>
      <c r="C326" s="89" t="s">
        <v>81</v>
      </c>
      <c r="D326" s="89" t="s">
        <v>35</v>
      </c>
      <c r="E326" s="89" t="s">
        <v>347</v>
      </c>
      <c r="F326" s="89" t="s">
        <v>838</v>
      </c>
      <c r="G326" s="89" t="s">
        <v>1333</v>
      </c>
      <c r="H326" s="93" t="s">
        <v>1334</v>
      </c>
    </row>
    <row r="327" spans="2:8" x14ac:dyDescent="0.25">
      <c r="B327" s="89" t="s">
        <v>80</v>
      </c>
      <c r="C327" s="89" t="s">
        <v>81</v>
      </c>
      <c r="D327" s="89" t="s">
        <v>35</v>
      </c>
      <c r="E327" s="89" t="s">
        <v>347</v>
      </c>
      <c r="F327" s="89" t="s">
        <v>838</v>
      </c>
      <c r="G327" s="89" t="s">
        <v>1335</v>
      </c>
      <c r="H327" s="93" t="s">
        <v>1336</v>
      </c>
    </row>
    <row r="328" spans="2:8" x14ac:dyDescent="0.25">
      <c r="B328" s="89" t="s">
        <v>80</v>
      </c>
      <c r="C328" s="89" t="s">
        <v>81</v>
      </c>
      <c r="D328" s="89" t="s">
        <v>35</v>
      </c>
      <c r="E328" s="89" t="s">
        <v>347</v>
      </c>
      <c r="F328" s="89" t="s">
        <v>838</v>
      </c>
      <c r="G328" s="89" t="s">
        <v>1337</v>
      </c>
      <c r="H328" s="93" t="s">
        <v>409</v>
      </c>
    </row>
    <row r="329" spans="2:8" x14ac:dyDescent="0.25">
      <c r="B329" s="89" t="s">
        <v>80</v>
      </c>
      <c r="C329" s="89" t="s">
        <v>81</v>
      </c>
      <c r="D329" s="89" t="s">
        <v>35</v>
      </c>
      <c r="E329" s="89" t="s">
        <v>347</v>
      </c>
      <c r="F329" s="89" t="s">
        <v>839</v>
      </c>
      <c r="G329" s="89" t="s">
        <v>418</v>
      </c>
      <c r="H329" s="93" t="s">
        <v>419</v>
      </c>
    </row>
    <row r="330" spans="2:8" x14ac:dyDescent="0.25">
      <c r="B330" s="89" t="s">
        <v>80</v>
      </c>
      <c r="C330" s="89" t="s">
        <v>81</v>
      </c>
      <c r="D330" s="89" t="s">
        <v>35</v>
      </c>
      <c r="E330" s="89" t="s">
        <v>347</v>
      </c>
      <c r="F330" s="89" t="s">
        <v>839</v>
      </c>
      <c r="G330" s="89" t="s">
        <v>839</v>
      </c>
      <c r="H330" s="93" t="s">
        <v>1338</v>
      </c>
    </row>
    <row r="331" spans="2:8" x14ac:dyDescent="0.25">
      <c r="B331" s="89" t="s">
        <v>80</v>
      </c>
      <c r="C331" s="89" t="s">
        <v>81</v>
      </c>
      <c r="D331" s="89" t="s">
        <v>35</v>
      </c>
      <c r="E331" s="89" t="s">
        <v>347</v>
      </c>
      <c r="F331" s="89" t="s">
        <v>839</v>
      </c>
      <c r="G331" s="89" t="s">
        <v>1339</v>
      </c>
      <c r="H331" s="93" t="s">
        <v>1340</v>
      </c>
    </row>
    <row r="332" spans="2:8" x14ac:dyDescent="0.25">
      <c r="B332" s="89" t="s">
        <v>80</v>
      </c>
      <c r="C332" s="89" t="s">
        <v>81</v>
      </c>
      <c r="D332" s="89" t="s">
        <v>35</v>
      </c>
      <c r="E332" s="89" t="s">
        <v>347</v>
      </c>
      <c r="F332" s="89" t="s">
        <v>839</v>
      </c>
      <c r="G332" s="89" t="s">
        <v>1341</v>
      </c>
      <c r="H332" s="93" t="s">
        <v>1342</v>
      </c>
    </row>
    <row r="333" spans="2:8" x14ac:dyDescent="0.25">
      <c r="B333" s="89" t="s">
        <v>80</v>
      </c>
      <c r="C333" s="89" t="s">
        <v>81</v>
      </c>
      <c r="D333" s="89" t="s">
        <v>35</v>
      </c>
      <c r="E333" s="89" t="s">
        <v>347</v>
      </c>
      <c r="F333" s="89" t="s">
        <v>839</v>
      </c>
      <c r="G333" s="89" t="s">
        <v>1343</v>
      </c>
      <c r="H333" s="93" t="s">
        <v>1344</v>
      </c>
    </row>
    <row r="334" spans="2:8" x14ac:dyDescent="0.25">
      <c r="B334" s="89" t="s">
        <v>80</v>
      </c>
      <c r="C334" s="89" t="s">
        <v>81</v>
      </c>
      <c r="D334" s="89" t="s">
        <v>35</v>
      </c>
      <c r="E334" s="89" t="s">
        <v>347</v>
      </c>
      <c r="F334" s="89" t="s">
        <v>839</v>
      </c>
      <c r="G334" s="89" t="s">
        <v>1345</v>
      </c>
      <c r="H334" s="93" t="s">
        <v>1346</v>
      </c>
    </row>
    <row r="335" spans="2:8" x14ac:dyDescent="0.25">
      <c r="B335" s="89" t="s">
        <v>80</v>
      </c>
      <c r="C335" s="89" t="s">
        <v>81</v>
      </c>
      <c r="D335" s="89" t="s">
        <v>35</v>
      </c>
      <c r="E335" s="89" t="s">
        <v>347</v>
      </c>
      <c r="F335" s="89" t="s">
        <v>839</v>
      </c>
      <c r="G335" s="89" t="s">
        <v>1347</v>
      </c>
      <c r="H335" s="93" t="s">
        <v>1348</v>
      </c>
    </row>
    <row r="336" spans="2:8" x14ac:dyDescent="0.25">
      <c r="B336" s="89" t="s">
        <v>80</v>
      </c>
      <c r="C336" s="89" t="s">
        <v>81</v>
      </c>
      <c r="D336" s="89" t="s">
        <v>35</v>
      </c>
      <c r="E336" s="89" t="s">
        <v>347</v>
      </c>
      <c r="F336" s="89" t="s">
        <v>839</v>
      </c>
      <c r="G336" s="89" t="s">
        <v>1349</v>
      </c>
      <c r="H336" s="93" t="s">
        <v>401</v>
      </c>
    </row>
    <row r="337" spans="2:8" x14ac:dyDescent="0.25">
      <c r="B337" s="89" t="s">
        <v>80</v>
      </c>
      <c r="C337" s="89" t="s">
        <v>81</v>
      </c>
      <c r="D337" s="89" t="s">
        <v>35</v>
      </c>
      <c r="E337" s="89" t="s">
        <v>347</v>
      </c>
      <c r="F337" s="89" t="s">
        <v>839</v>
      </c>
      <c r="G337" s="89" t="s">
        <v>420</v>
      </c>
      <c r="H337" s="93" t="s">
        <v>421</v>
      </c>
    </row>
    <row r="338" spans="2:8" x14ac:dyDescent="0.25">
      <c r="B338" s="89" t="s">
        <v>80</v>
      </c>
      <c r="C338" s="89" t="s">
        <v>81</v>
      </c>
      <c r="D338" s="89" t="s">
        <v>35</v>
      </c>
      <c r="E338" s="89" t="s">
        <v>347</v>
      </c>
      <c r="F338" s="89" t="s">
        <v>839</v>
      </c>
      <c r="G338" s="89" t="s">
        <v>1350</v>
      </c>
      <c r="H338" s="93" t="s">
        <v>399</v>
      </c>
    </row>
    <row r="339" spans="2:8" x14ac:dyDescent="0.25">
      <c r="B339" s="89" t="s">
        <v>80</v>
      </c>
      <c r="C339" s="89" t="s">
        <v>81</v>
      </c>
      <c r="D339" s="89" t="s">
        <v>35</v>
      </c>
      <c r="E339" s="89" t="s">
        <v>347</v>
      </c>
      <c r="F339" s="89" t="s">
        <v>839</v>
      </c>
      <c r="G339" s="89" t="s">
        <v>1351</v>
      </c>
      <c r="H339" s="93" t="s">
        <v>1352</v>
      </c>
    </row>
    <row r="340" spans="2:8" x14ac:dyDescent="0.25">
      <c r="B340" s="89" t="s">
        <v>80</v>
      </c>
      <c r="C340" s="89" t="s">
        <v>81</v>
      </c>
      <c r="D340" s="89" t="s">
        <v>35</v>
      </c>
      <c r="E340" s="89" t="s">
        <v>347</v>
      </c>
      <c r="F340" s="89" t="s">
        <v>839</v>
      </c>
      <c r="G340" s="89" t="s">
        <v>1353</v>
      </c>
      <c r="H340" s="93" t="s">
        <v>1354</v>
      </c>
    </row>
    <row r="341" spans="2:8" x14ac:dyDescent="0.25">
      <c r="B341" s="89" t="s">
        <v>80</v>
      </c>
      <c r="C341" s="89" t="s">
        <v>81</v>
      </c>
      <c r="D341" s="89" t="s">
        <v>35</v>
      </c>
      <c r="E341" s="89" t="s">
        <v>347</v>
      </c>
      <c r="F341" s="89" t="s">
        <v>839</v>
      </c>
      <c r="G341" s="89" t="s">
        <v>1355</v>
      </c>
      <c r="H341" s="93" t="s">
        <v>1356</v>
      </c>
    </row>
    <row r="342" spans="2:8" x14ac:dyDescent="0.25">
      <c r="B342" s="89" t="s">
        <v>80</v>
      </c>
      <c r="C342" s="89" t="s">
        <v>81</v>
      </c>
      <c r="D342" s="89" t="s">
        <v>35</v>
      </c>
      <c r="E342" s="89" t="s">
        <v>347</v>
      </c>
      <c r="F342" s="89" t="s">
        <v>839</v>
      </c>
      <c r="G342" s="89" t="s">
        <v>1357</v>
      </c>
      <c r="H342" s="93" t="s">
        <v>363</v>
      </c>
    </row>
    <row r="343" spans="2:8" x14ac:dyDescent="0.25">
      <c r="B343" s="89" t="s">
        <v>80</v>
      </c>
      <c r="C343" s="89" t="s">
        <v>81</v>
      </c>
      <c r="D343" s="89" t="s">
        <v>35</v>
      </c>
      <c r="E343" s="89" t="s">
        <v>347</v>
      </c>
      <c r="F343" s="89" t="s">
        <v>839</v>
      </c>
      <c r="G343" s="89" t="s">
        <v>1358</v>
      </c>
      <c r="H343" s="93" t="s">
        <v>1359</v>
      </c>
    </row>
    <row r="344" spans="2:8" x14ac:dyDescent="0.25">
      <c r="B344" s="89" t="s">
        <v>80</v>
      </c>
      <c r="C344" s="89" t="s">
        <v>81</v>
      </c>
      <c r="D344" s="89" t="s">
        <v>35</v>
      </c>
      <c r="E344" s="89" t="s">
        <v>347</v>
      </c>
      <c r="F344" s="89" t="s">
        <v>839</v>
      </c>
      <c r="G344" s="89" t="s">
        <v>1360</v>
      </c>
      <c r="H344" s="93" t="s">
        <v>1361</v>
      </c>
    </row>
    <row r="345" spans="2:8" x14ac:dyDescent="0.25">
      <c r="B345" s="89" t="s">
        <v>80</v>
      </c>
      <c r="C345" s="89" t="s">
        <v>81</v>
      </c>
      <c r="D345" s="89" t="s">
        <v>35</v>
      </c>
      <c r="E345" s="89" t="s">
        <v>347</v>
      </c>
      <c r="F345" s="89" t="s">
        <v>839</v>
      </c>
      <c r="G345" s="89" t="s">
        <v>1362</v>
      </c>
      <c r="H345" s="93" t="s">
        <v>1363</v>
      </c>
    </row>
    <row r="346" spans="2:8" x14ac:dyDescent="0.25">
      <c r="B346" s="89" t="s">
        <v>80</v>
      </c>
      <c r="C346" s="89" t="s">
        <v>81</v>
      </c>
      <c r="D346" s="89" t="s">
        <v>35</v>
      </c>
      <c r="E346" s="89" t="s">
        <v>347</v>
      </c>
      <c r="F346" s="89" t="s">
        <v>839</v>
      </c>
      <c r="G346" s="89" t="s">
        <v>1364</v>
      </c>
      <c r="H346" s="93" t="s">
        <v>397</v>
      </c>
    </row>
    <row r="347" spans="2:8" x14ac:dyDescent="0.25">
      <c r="B347" s="89" t="s">
        <v>80</v>
      </c>
      <c r="C347" s="89" t="s">
        <v>81</v>
      </c>
      <c r="D347" s="89" t="s">
        <v>35</v>
      </c>
      <c r="E347" s="89" t="s">
        <v>347</v>
      </c>
      <c r="F347" s="89" t="s">
        <v>839</v>
      </c>
      <c r="G347" s="89" t="s">
        <v>839</v>
      </c>
      <c r="H347" s="93" t="s">
        <v>1365</v>
      </c>
    </row>
    <row r="348" spans="2:8" x14ac:dyDescent="0.25">
      <c r="B348" s="89" t="s">
        <v>80</v>
      </c>
      <c r="C348" s="89" t="s">
        <v>81</v>
      </c>
      <c r="D348" s="89" t="s">
        <v>35</v>
      </c>
      <c r="E348" s="89" t="s">
        <v>347</v>
      </c>
      <c r="F348" s="89" t="s">
        <v>839</v>
      </c>
      <c r="G348" s="89" t="s">
        <v>1366</v>
      </c>
      <c r="H348" s="93" t="s">
        <v>1367</v>
      </c>
    </row>
    <row r="349" spans="2:8" x14ac:dyDescent="0.25">
      <c r="B349" s="89" t="s">
        <v>80</v>
      </c>
      <c r="C349" s="89" t="s">
        <v>81</v>
      </c>
      <c r="D349" s="89" t="s">
        <v>35</v>
      </c>
      <c r="E349" s="89" t="s">
        <v>347</v>
      </c>
      <c r="F349" s="89" t="s">
        <v>839</v>
      </c>
      <c r="G349" s="89" t="s">
        <v>1368</v>
      </c>
      <c r="H349" s="93" t="s">
        <v>1369</v>
      </c>
    </row>
    <row r="350" spans="2:8" x14ac:dyDescent="0.25">
      <c r="B350" s="89" t="s">
        <v>80</v>
      </c>
      <c r="C350" s="89" t="s">
        <v>81</v>
      </c>
      <c r="D350" s="89" t="s">
        <v>35</v>
      </c>
      <c r="E350" s="89" t="s">
        <v>347</v>
      </c>
      <c r="F350" s="89" t="s">
        <v>839</v>
      </c>
      <c r="G350" s="89" t="s">
        <v>392</v>
      </c>
      <c r="H350" s="93" t="s">
        <v>393</v>
      </c>
    </row>
    <row r="351" spans="2:8" x14ac:dyDescent="0.25">
      <c r="B351" s="89" t="s">
        <v>80</v>
      </c>
      <c r="C351" s="89" t="s">
        <v>81</v>
      </c>
      <c r="D351" s="89" t="s">
        <v>35</v>
      </c>
      <c r="E351" s="89" t="s">
        <v>347</v>
      </c>
      <c r="F351" s="89" t="s">
        <v>839</v>
      </c>
      <c r="G351" s="89" t="s">
        <v>394</v>
      </c>
      <c r="H351" s="93" t="s">
        <v>395</v>
      </c>
    </row>
    <row r="352" spans="2:8" x14ac:dyDescent="0.25">
      <c r="B352" s="89" t="s">
        <v>80</v>
      </c>
      <c r="C352" s="89" t="s">
        <v>81</v>
      </c>
      <c r="D352" s="89" t="s">
        <v>35</v>
      </c>
      <c r="E352" s="89" t="s">
        <v>347</v>
      </c>
      <c r="F352" s="89" t="s">
        <v>839</v>
      </c>
      <c r="G352" s="89" t="s">
        <v>1370</v>
      </c>
      <c r="H352" s="93" t="s">
        <v>1371</v>
      </c>
    </row>
    <row r="353" spans="2:8" x14ac:dyDescent="0.25">
      <c r="B353" s="89" t="s">
        <v>80</v>
      </c>
      <c r="C353" s="89" t="s">
        <v>81</v>
      </c>
      <c r="D353" s="89" t="s">
        <v>35</v>
      </c>
      <c r="E353" s="89" t="s">
        <v>347</v>
      </c>
      <c r="F353" s="89" t="s">
        <v>839</v>
      </c>
      <c r="G353" s="89" t="s">
        <v>1366</v>
      </c>
      <c r="H353" s="93" t="s">
        <v>1372</v>
      </c>
    </row>
    <row r="354" spans="2:8" x14ac:dyDescent="0.25">
      <c r="B354" s="89" t="s">
        <v>80</v>
      </c>
      <c r="C354" s="89" t="s">
        <v>81</v>
      </c>
      <c r="D354" s="89" t="s">
        <v>35</v>
      </c>
      <c r="E354" s="89" t="s">
        <v>347</v>
      </c>
      <c r="F354" s="89" t="s">
        <v>839</v>
      </c>
      <c r="G354" s="89" t="s">
        <v>1373</v>
      </c>
      <c r="H354" s="93" t="s">
        <v>1374</v>
      </c>
    </row>
    <row r="355" spans="2:8" x14ac:dyDescent="0.25">
      <c r="B355" s="89" t="s">
        <v>80</v>
      </c>
      <c r="C355" s="89" t="s">
        <v>81</v>
      </c>
      <c r="D355" s="89" t="s">
        <v>35</v>
      </c>
      <c r="E355" s="89" t="s">
        <v>347</v>
      </c>
      <c r="F355" s="89" t="s">
        <v>840</v>
      </c>
      <c r="G355" s="89" t="s">
        <v>1375</v>
      </c>
      <c r="H355" s="93" t="s">
        <v>491</v>
      </c>
    </row>
    <row r="356" spans="2:8" x14ac:dyDescent="0.25">
      <c r="B356" s="89" t="s">
        <v>80</v>
      </c>
      <c r="C356" s="89" t="s">
        <v>81</v>
      </c>
      <c r="D356" s="89" t="s">
        <v>35</v>
      </c>
      <c r="E356" s="89" t="s">
        <v>347</v>
      </c>
      <c r="F356" s="89" t="s">
        <v>840</v>
      </c>
      <c r="G356" s="89" t="s">
        <v>522</v>
      </c>
      <c r="H356" s="93" t="s">
        <v>523</v>
      </c>
    </row>
    <row r="357" spans="2:8" x14ac:dyDescent="0.25">
      <c r="B357" s="89" t="s">
        <v>80</v>
      </c>
      <c r="C357" s="89" t="s">
        <v>81</v>
      </c>
      <c r="D357" s="89" t="s">
        <v>35</v>
      </c>
      <c r="E357" s="89" t="s">
        <v>347</v>
      </c>
      <c r="F357" s="89" t="s">
        <v>840</v>
      </c>
      <c r="G357" s="89" t="s">
        <v>520</v>
      </c>
      <c r="H357" s="93" t="s">
        <v>521</v>
      </c>
    </row>
    <row r="358" spans="2:8" x14ac:dyDescent="0.25">
      <c r="B358" s="89" t="s">
        <v>80</v>
      </c>
      <c r="C358" s="89" t="s">
        <v>81</v>
      </c>
      <c r="D358" s="89" t="s">
        <v>35</v>
      </c>
      <c r="E358" s="89" t="s">
        <v>347</v>
      </c>
      <c r="F358" s="89" t="s">
        <v>840</v>
      </c>
      <c r="G358" s="89" t="s">
        <v>492</v>
      </c>
      <c r="H358" s="93" t="s">
        <v>493</v>
      </c>
    </row>
    <row r="359" spans="2:8" x14ac:dyDescent="0.25">
      <c r="B359" s="89" t="s">
        <v>80</v>
      </c>
      <c r="C359" s="89" t="s">
        <v>81</v>
      </c>
      <c r="D359" s="89" t="s">
        <v>35</v>
      </c>
      <c r="E359" s="89" t="s">
        <v>347</v>
      </c>
      <c r="F359" s="89" t="s">
        <v>840</v>
      </c>
      <c r="G359" s="89" t="s">
        <v>1376</v>
      </c>
      <c r="H359" s="93" t="s">
        <v>1377</v>
      </c>
    </row>
    <row r="360" spans="2:8" x14ac:dyDescent="0.25">
      <c r="B360" s="89" t="s">
        <v>80</v>
      </c>
      <c r="C360" s="89" t="s">
        <v>81</v>
      </c>
      <c r="D360" s="89" t="s">
        <v>35</v>
      </c>
      <c r="E360" s="89" t="s">
        <v>347</v>
      </c>
      <c r="F360" s="89" t="s">
        <v>840</v>
      </c>
      <c r="G360" s="89" t="s">
        <v>428</v>
      </c>
      <c r="H360" s="93" t="s">
        <v>429</v>
      </c>
    </row>
    <row r="361" spans="2:8" x14ac:dyDescent="0.25">
      <c r="B361" s="89" t="s">
        <v>80</v>
      </c>
      <c r="C361" s="89" t="s">
        <v>81</v>
      </c>
      <c r="D361" s="89" t="s">
        <v>35</v>
      </c>
      <c r="E361" s="89" t="s">
        <v>347</v>
      </c>
      <c r="F361" s="89" t="s">
        <v>840</v>
      </c>
      <c r="G361" s="89" t="s">
        <v>432</v>
      </c>
      <c r="H361" s="93" t="s">
        <v>433</v>
      </c>
    </row>
    <row r="362" spans="2:8" x14ac:dyDescent="0.25">
      <c r="B362" s="89" t="s">
        <v>80</v>
      </c>
      <c r="C362" s="89" t="s">
        <v>81</v>
      </c>
      <c r="D362" s="89" t="s">
        <v>35</v>
      </c>
      <c r="E362" s="89" t="s">
        <v>347</v>
      </c>
      <c r="F362" s="89" t="s">
        <v>840</v>
      </c>
      <c r="G362" s="89" t="s">
        <v>430</v>
      </c>
      <c r="H362" s="93" t="s">
        <v>431</v>
      </c>
    </row>
    <row r="363" spans="2:8" x14ac:dyDescent="0.25">
      <c r="B363" s="89" t="s">
        <v>80</v>
      </c>
      <c r="C363" s="89" t="s">
        <v>81</v>
      </c>
      <c r="D363" s="89" t="s">
        <v>35</v>
      </c>
      <c r="E363" s="89" t="s">
        <v>347</v>
      </c>
      <c r="F363" s="89" t="s">
        <v>840</v>
      </c>
      <c r="G363" s="89" t="s">
        <v>434</v>
      </c>
      <c r="H363" s="93" t="s">
        <v>435</v>
      </c>
    </row>
    <row r="364" spans="2:8" x14ac:dyDescent="0.25">
      <c r="B364" s="89" t="s">
        <v>80</v>
      </c>
      <c r="C364" s="89" t="s">
        <v>81</v>
      </c>
      <c r="D364" s="89" t="s">
        <v>35</v>
      </c>
      <c r="E364" s="89" t="s">
        <v>347</v>
      </c>
      <c r="F364" s="89" t="s">
        <v>840</v>
      </c>
      <c r="G364" s="89" t="s">
        <v>488</v>
      </c>
      <c r="H364" s="93" t="s">
        <v>489</v>
      </c>
    </row>
    <row r="365" spans="2:8" x14ac:dyDescent="0.25">
      <c r="B365" s="89" t="s">
        <v>80</v>
      </c>
      <c r="C365" s="89" t="s">
        <v>81</v>
      </c>
      <c r="D365" s="89" t="s">
        <v>35</v>
      </c>
      <c r="E365" s="89" t="s">
        <v>347</v>
      </c>
      <c r="F365" s="89" t="s">
        <v>841</v>
      </c>
      <c r="G365" s="89" t="s">
        <v>448</v>
      </c>
      <c r="H365" s="93" t="s">
        <v>449</v>
      </c>
    </row>
    <row r="366" spans="2:8" x14ac:dyDescent="0.25">
      <c r="B366" s="89" t="s">
        <v>80</v>
      </c>
      <c r="C366" s="89" t="s">
        <v>81</v>
      </c>
      <c r="D366" s="89" t="s">
        <v>35</v>
      </c>
      <c r="E366" s="89" t="s">
        <v>347</v>
      </c>
      <c r="F366" s="89" t="s">
        <v>841</v>
      </c>
      <c r="G366" s="89" t="s">
        <v>1378</v>
      </c>
      <c r="H366" s="93" t="s">
        <v>1379</v>
      </c>
    </row>
    <row r="367" spans="2:8" x14ac:dyDescent="0.25">
      <c r="B367" s="89" t="s">
        <v>80</v>
      </c>
      <c r="C367" s="89" t="s">
        <v>81</v>
      </c>
      <c r="D367" s="89" t="s">
        <v>35</v>
      </c>
      <c r="E367" s="89" t="s">
        <v>347</v>
      </c>
      <c r="F367" s="89" t="s">
        <v>841</v>
      </c>
      <c r="G367" s="89" t="s">
        <v>1380</v>
      </c>
      <c r="H367" s="93" t="s">
        <v>1381</v>
      </c>
    </row>
    <row r="368" spans="2:8" x14ac:dyDescent="0.25">
      <c r="B368" s="89" t="s">
        <v>80</v>
      </c>
      <c r="C368" s="89" t="s">
        <v>81</v>
      </c>
      <c r="D368" s="89" t="s">
        <v>35</v>
      </c>
      <c r="E368" s="89" t="s">
        <v>347</v>
      </c>
      <c r="F368" s="89" t="s">
        <v>841</v>
      </c>
      <c r="G368" s="89" t="s">
        <v>1382</v>
      </c>
      <c r="H368" s="93" t="s">
        <v>1383</v>
      </c>
    </row>
    <row r="369" spans="2:8" x14ac:dyDescent="0.25">
      <c r="B369" s="89" t="s">
        <v>80</v>
      </c>
      <c r="C369" s="89" t="s">
        <v>81</v>
      </c>
      <c r="D369" s="89" t="s">
        <v>35</v>
      </c>
      <c r="E369" s="89" t="s">
        <v>347</v>
      </c>
      <c r="F369" s="89" t="s">
        <v>841</v>
      </c>
      <c r="G369" s="89" t="s">
        <v>1384</v>
      </c>
      <c r="H369" s="93" t="s">
        <v>1385</v>
      </c>
    </row>
    <row r="370" spans="2:8" x14ac:dyDescent="0.25">
      <c r="B370" s="89" t="s">
        <v>80</v>
      </c>
      <c r="C370" s="89" t="s">
        <v>81</v>
      </c>
      <c r="D370" s="89" t="s">
        <v>35</v>
      </c>
      <c r="E370" s="89" t="s">
        <v>347</v>
      </c>
      <c r="F370" s="89" t="s">
        <v>841</v>
      </c>
      <c r="G370" s="89" t="s">
        <v>1386</v>
      </c>
      <c r="H370" s="93" t="s">
        <v>1387</v>
      </c>
    </row>
    <row r="371" spans="2:8" x14ac:dyDescent="0.25">
      <c r="B371" s="89" t="s">
        <v>80</v>
      </c>
      <c r="C371" s="89" t="s">
        <v>81</v>
      </c>
      <c r="D371" s="89" t="s">
        <v>35</v>
      </c>
      <c r="E371" s="89" t="s">
        <v>347</v>
      </c>
      <c r="F371" s="89" t="s">
        <v>841</v>
      </c>
      <c r="G371" s="89" t="s">
        <v>1388</v>
      </c>
      <c r="H371" s="93" t="s">
        <v>1389</v>
      </c>
    </row>
    <row r="372" spans="2:8" x14ac:dyDescent="0.25">
      <c r="B372" s="89" t="s">
        <v>80</v>
      </c>
      <c r="C372" s="89" t="s">
        <v>81</v>
      </c>
      <c r="D372" s="89" t="s">
        <v>35</v>
      </c>
      <c r="E372" s="89" t="s">
        <v>347</v>
      </c>
      <c r="F372" s="89" t="s">
        <v>841</v>
      </c>
      <c r="G372" s="89" t="s">
        <v>1390</v>
      </c>
      <c r="H372" s="93" t="s">
        <v>513</v>
      </c>
    </row>
    <row r="373" spans="2:8" x14ac:dyDescent="0.25">
      <c r="B373" s="89" t="s">
        <v>80</v>
      </c>
      <c r="C373" s="89" t="s">
        <v>81</v>
      </c>
      <c r="D373" s="89" t="s">
        <v>35</v>
      </c>
      <c r="E373" s="89" t="s">
        <v>347</v>
      </c>
      <c r="F373" s="89" t="s">
        <v>841</v>
      </c>
      <c r="G373" s="89" t="s">
        <v>1391</v>
      </c>
      <c r="H373" s="93" t="s">
        <v>1392</v>
      </c>
    </row>
    <row r="374" spans="2:8" x14ac:dyDescent="0.25">
      <c r="B374" s="89" t="s">
        <v>80</v>
      </c>
      <c r="C374" s="89" t="s">
        <v>81</v>
      </c>
      <c r="D374" s="89" t="s">
        <v>35</v>
      </c>
      <c r="E374" s="89" t="s">
        <v>347</v>
      </c>
      <c r="F374" s="89" t="s">
        <v>841</v>
      </c>
      <c r="G374" s="89" t="s">
        <v>1393</v>
      </c>
      <c r="H374" s="93" t="s">
        <v>1394</v>
      </c>
    </row>
    <row r="375" spans="2:8" x14ac:dyDescent="0.25">
      <c r="B375" s="89" t="s">
        <v>80</v>
      </c>
      <c r="C375" s="89" t="s">
        <v>81</v>
      </c>
      <c r="D375" s="89" t="s">
        <v>35</v>
      </c>
      <c r="E375" s="89" t="s">
        <v>347</v>
      </c>
      <c r="F375" s="89" t="s">
        <v>841</v>
      </c>
      <c r="G375" s="89" t="s">
        <v>1395</v>
      </c>
      <c r="H375" s="93" t="s">
        <v>1396</v>
      </c>
    </row>
    <row r="376" spans="2:8" x14ac:dyDescent="0.25">
      <c r="B376" s="89" t="s">
        <v>80</v>
      </c>
      <c r="C376" s="89" t="s">
        <v>81</v>
      </c>
      <c r="D376" s="89" t="s">
        <v>35</v>
      </c>
      <c r="E376" s="89" t="s">
        <v>347</v>
      </c>
      <c r="F376" s="89" t="s">
        <v>841</v>
      </c>
      <c r="G376" s="89" t="s">
        <v>1397</v>
      </c>
      <c r="H376" s="93" t="s">
        <v>1398</v>
      </c>
    </row>
    <row r="377" spans="2:8" x14ac:dyDescent="0.25">
      <c r="B377" s="89" t="s">
        <v>80</v>
      </c>
      <c r="C377" s="89" t="s">
        <v>81</v>
      </c>
      <c r="D377" s="89" t="s">
        <v>35</v>
      </c>
      <c r="E377" s="89" t="s">
        <v>347</v>
      </c>
      <c r="F377" s="89" t="s">
        <v>841</v>
      </c>
      <c r="G377" s="89" t="s">
        <v>1399</v>
      </c>
      <c r="H377" s="93" t="s">
        <v>1400</v>
      </c>
    </row>
    <row r="378" spans="2:8" x14ac:dyDescent="0.25">
      <c r="B378" s="89" t="s">
        <v>80</v>
      </c>
      <c r="C378" s="89" t="s">
        <v>81</v>
      </c>
      <c r="D378" s="89" t="s">
        <v>35</v>
      </c>
      <c r="E378" s="89" t="s">
        <v>347</v>
      </c>
      <c r="F378" s="89" t="s">
        <v>841</v>
      </c>
      <c r="G378" s="89" t="s">
        <v>1401</v>
      </c>
      <c r="H378" s="93" t="s">
        <v>1402</v>
      </c>
    </row>
    <row r="379" spans="2:8" x14ac:dyDescent="0.25">
      <c r="B379" s="89" t="s">
        <v>80</v>
      </c>
      <c r="C379" s="89" t="s">
        <v>81</v>
      </c>
      <c r="D379" s="89" t="s">
        <v>35</v>
      </c>
      <c r="E379" s="89" t="s">
        <v>347</v>
      </c>
      <c r="F379" s="89" t="s">
        <v>841</v>
      </c>
      <c r="G379" s="89" t="s">
        <v>1403</v>
      </c>
      <c r="H379" s="93" t="s">
        <v>507</v>
      </c>
    </row>
    <row r="380" spans="2:8" x14ac:dyDescent="0.25">
      <c r="B380" s="89" t="s">
        <v>80</v>
      </c>
      <c r="C380" s="89" t="s">
        <v>81</v>
      </c>
      <c r="D380" s="89" t="s">
        <v>35</v>
      </c>
      <c r="E380" s="89" t="s">
        <v>347</v>
      </c>
      <c r="F380" s="89" t="s">
        <v>841</v>
      </c>
      <c r="G380" s="89" t="s">
        <v>1404</v>
      </c>
      <c r="H380" s="93" t="s">
        <v>447</v>
      </c>
    </row>
    <row r="381" spans="2:8" x14ac:dyDescent="0.25">
      <c r="B381" s="89" t="s">
        <v>80</v>
      </c>
      <c r="C381" s="89" t="s">
        <v>81</v>
      </c>
      <c r="D381" s="89" t="s">
        <v>35</v>
      </c>
      <c r="E381" s="89" t="s">
        <v>347</v>
      </c>
      <c r="F381" s="89" t="s">
        <v>841</v>
      </c>
      <c r="G381" s="89" t="s">
        <v>1405</v>
      </c>
      <c r="H381" s="93" t="s">
        <v>525</v>
      </c>
    </row>
    <row r="382" spans="2:8" x14ac:dyDescent="0.25">
      <c r="B382" s="89" t="s">
        <v>80</v>
      </c>
      <c r="C382" s="89" t="s">
        <v>81</v>
      </c>
      <c r="D382" s="89" t="s">
        <v>35</v>
      </c>
      <c r="E382" s="89" t="s">
        <v>347</v>
      </c>
      <c r="F382" s="89" t="s">
        <v>841</v>
      </c>
      <c r="G382" s="89" t="s">
        <v>1406</v>
      </c>
      <c r="H382" s="93" t="s">
        <v>1407</v>
      </c>
    </row>
    <row r="383" spans="2:8" x14ac:dyDescent="0.25">
      <c r="B383" s="89" t="s">
        <v>80</v>
      </c>
      <c r="C383" s="89" t="s">
        <v>81</v>
      </c>
      <c r="D383" s="89" t="s">
        <v>35</v>
      </c>
      <c r="E383" s="89" t="s">
        <v>347</v>
      </c>
      <c r="F383" s="89" t="s">
        <v>841</v>
      </c>
      <c r="G383" s="89" t="s">
        <v>1408</v>
      </c>
      <c r="H383" s="93" t="s">
        <v>1409</v>
      </c>
    </row>
    <row r="384" spans="2:8" x14ac:dyDescent="0.25">
      <c r="B384" s="89" t="s">
        <v>80</v>
      </c>
      <c r="C384" s="89" t="s">
        <v>81</v>
      </c>
      <c r="D384" s="89" t="s">
        <v>35</v>
      </c>
      <c r="E384" s="89" t="s">
        <v>347</v>
      </c>
      <c r="F384" s="89" t="s">
        <v>841</v>
      </c>
      <c r="G384" s="89" t="s">
        <v>1410</v>
      </c>
      <c r="H384" s="93" t="s">
        <v>1411</v>
      </c>
    </row>
    <row r="385" spans="2:8" x14ac:dyDescent="0.25">
      <c r="B385" s="89" t="s">
        <v>80</v>
      </c>
      <c r="C385" s="89" t="s">
        <v>81</v>
      </c>
      <c r="D385" s="89" t="s">
        <v>35</v>
      </c>
      <c r="E385" s="89" t="s">
        <v>347</v>
      </c>
      <c r="F385" s="89" t="s">
        <v>841</v>
      </c>
      <c r="G385" s="89" t="s">
        <v>1412</v>
      </c>
      <c r="H385" s="93" t="s">
        <v>1413</v>
      </c>
    </row>
    <row r="386" spans="2:8" x14ac:dyDescent="0.25">
      <c r="B386" s="89" t="s">
        <v>80</v>
      </c>
      <c r="C386" s="89" t="s">
        <v>81</v>
      </c>
      <c r="D386" s="89" t="s">
        <v>35</v>
      </c>
      <c r="E386" s="89" t="s">
        <v>347</v>
      </c>
      <c r="F386" s="89" t="s">
        <v>841</v>
      </c>
      <c r="G386" s="89" t="s">
        <v>1414</v>
      </c>
      <c r="H386" s="93" t="s">
        <v>1415</v>
      </c>
    </row>
    <row r="387" spans="2:8" x14ac:dyDescent="0.25">
      <c r="B387" s="89" t="s">
        <v>80</v>
      </c>
      <c r="C387" s="89" t="s">
        <v>81</v>
      </c>
      <c r="D387" s="89" t="s">
        <v>35</v>
      </c>
      <c r="E387" s="89" t="s">
        <v>347</v>
      </c>
      <c r="F387" s="89" t="s">
        <v>841</v>
      </c>
      <c r="G387" s="89" t="s">
        <v>1416</v>
      </c>
      <c r="H387" s="93" t="s">
        <v>1417</v>
      </c>
    </row>
    <row r="388" spans="2:8" x14ac:dyDescent="0.25">
      <c r="B388" s="89" t="s">
        <v>80</v>
      </c>
      <c r="C388" s="89" t="s">
        <v>81</v>
      </c>
      <c r="D388" s="89" t="s">
        <v>35</v>
      </c>
      <c r="E388" s="89" t="s">
        <v>347</v>
      </c>
      <c r="F388" s="89" t="s">
        <v>841</v>
      </c>
      <c r="G388" s="89" t="s">
        <v>1418</v>
      </c>
      <c r="H388" s="93" t="s">
        <v>1419</v>
      </c>
    </row>
    <row r="389" spans="2:8" x14ac:dyDescent="0.25">
      <c r="B389" s="89" t="s">
        <v>80</v>
      </c>
      <c r="C389" s="89" t="s">
        <v>81</v>
      </c>
      <c r="D389" s="89" t="s">
        <v>35</v>
      </c>
      <c r="E389" s="89" t="s">
        <v>347</v>
      </c>
      <c r="F389" s="89" t="s">
        <v>841</v>
      </c>
      <c r="G389" s="89" t="s">
        <v>1420</v>
      </c>
      <c r="H389" s="93" t="s">
        <v>1421</v>
      </c>
    </row>
    <row r="390" spans="2:8" x14ac:dyDescent="0.25">
      <c r="B390" s="89" t="s">
        <v>80</v>
      </c>
      <c r="C390" s="89" t="s">
        <v>81</v>
      </c>
      <c r="D390" s="89" t="s">
        <v>35</v>
      </c>
      <c r="E390" s="89" t="s">
        <v>347</v>
      </c>
      <c r="F390" s="89" t="s">
        <v>841</v>
      </c>
      <c r="G390" s="89" t="s">
        <v>1422</v>
      </c>
      <c r="H390" s="93" t="s">
        <v>1423</v>
      </c>
    </row>
    <row r="391" spans="2:8" x14ac:dyDescent="0.25">
      <c r="B391" s="89" t="s">
        <v>80</v>
      </c>
      <c r="C391" s="89" t="s">
        <v>81</v>
      </c>
      <c r="D391" s="89" t="s">
        <v>35</v>
      </c>
      <c r="E391" s="89" t="s">
        <v>347</v>
      </c>
      <c r="F391" s="89" t="s">
        <v>841</v>
      </c>
      <c r="G391" s="89" t="s">
        <v>1424</v>
      </c>
      <c r="H391" s="93" t="s">
        <v>1425</v>
      </c>
    </row>
    <row r="392" spans="2:8" x14ac:dyDescent="0.25">
      <c r="B392" s="89" t="s">
        <v>80</v>
      </c>
      <c r="C392" s="89" t="s">
        <v>81</v>
      </c>
      <c r="D392" s="89" t="s">
        <v>35</v>
      </c>
      <c r="E392" s="89" t="s">
        <v>347</v>
      </c>
      <c r="F392" s="89" t="s">
        <v>841</v>
      </c>
      <c r="G392" s="89" t="s">
        <v>1426</v>
      </c>
      <c r="H392" s="93" t="s">
        <v>1427</v>
      </c>
    </row>
    <row r="393" spans="2:8" x14ac:dyDescent="0.25">
      <c r="B393" s="89" t="s">
        <v>80</v>
      </c>
      <c r="C393" s="89" t="s">
        <v>81</v>
      </c>
      <c r="D393" s="89" t="s">
        <v>35</v>
      </c>
      <c r="E393" s="89" t="s">
        <v>347</v>
      </c>
      <c r="F393" s="89" t="s">
        <v>841</v>
      </c>
      <c r="G393" s="89" t="s">
        <v>1428</v>
      </c>
      <c r="H393" s="93" t="s">
        <v>1429</v>
      </c>
    </row>
    <row r="394" spans="2:8" x14ac:dyDescent="0.25">
      <c r="B394" s="89" t="s">
        <v>80</v>
      </c>
      <c r="C394" s="89" t="s">
        <v>81</v>
      </c>
      <c r="D394" s="89" t="s">
        <v>35</v>
      </c>
      <c r="E394" s="89" t="s">
        <v>347</v>
      </c>
      <c r="F394" s="89" t="s">
        <v>841</v>
      </c>
      <c r="G394" s="89" t="s">
        <v>1430</v>
      </c>
      <c r="H394" s="93" t="s">
        <v>1431</v>
      </c>
    </row>
    <row r="395" spans="2:8" x14ac:dyDescent="0.25">
      <c r="B395" s="89" t="s">
        <v>80</v>
      </c>
      <c r="C395" s="89" t="s">
        <v>81</v>
      </c>
      <c r="D395" s="89" t="s">
        <v>35</v>
      </c>
      <c r="E395" s="89" t="s">
        <v>347</v>
      </c>
      <c r="F395" s="89" t="s">
        <v>841</v>
      </c>
      <c r="G395" s="89" t="s">
        <v>1432</v>
      </c>
      <c r="H395" s="93" t="s">
        <v>1433</v>
      </c>
    </row>
    <row r="396" spans="2:8" x14ac:dyDescent="0.25">
      <c r="B396" s="89" t="s">
        <v>80</v>
      </c>
      <c r="C396" s="89" t="s">
        <v>81</v>
      </c>
      <c r="D396" s="89" t="s">
        <v>35</v>
      </c>
      <c r="E396" s="89" t="s">
        <v>347</v>
      </c>
      <c r="F396" s="89" t="s">
        <v>841</v>
      </c>
      <c r="G396" s="89" t="s">
        <v>1434</v>
      </c>
      <c r="H396" s="93" t="s">
        <v>503</v>
      </c>
    </row>
    <row r="397" spans="2:8" x14ac:dyDescent="0.25">
      <c r="B397" s="89" t="s">
        <v>80</v>
      </c>
      <c r="C397" s="89" t="s">
        <v>81</v>
      </c>
      <c r="D397" s="89" t="s">
        <v>35</v>
      </c>
      <c r="E397" s="89" t="s">
        <v>347</v>
      </c>
      <c r="F397" s="89" t="s">
        <v>841</v>
      </c>
      <c r="G397" s="89" t="s">
        <v>1435</v>
      </c>
      <c r="H397" s="93" t="s">
        <v>1436</v>
      </c>
    </row>
    <row r="398" spans="2:8" x14ac:dyDescent="0.25">
      <c r="B398" s="89" t="s">
        <v>80</v>
      </c>
      <c r="C398" s="89" t="s">
        <v>81</v>
      </c>
      <c r="D398" s="89" t="s">
        <v>35</v>
      </c>
      <c r="E398" s="89" t="s">
        <v>347</v>
      </c>
      <c r="F398" s="89" t="s">
        <v>841</v>
      </c>
      <c r="G398" s="89" t="s">
        <v>1437</v>
      </c>
      <c r="H398" s="93" t="s">
        <v>1438</v>
      </c>
    </row>
    <row r="399" spans="2:8" x14ac:dyDescent="0.25">
      <c r="B399" s="89" t="s">
        <v>80</v>
      </c>
      <c r="C399" s="89" t="s">
        <v>81</v>
      </c>
      <c r="D399" s="89" t="s">
        <v>35</v>
      </c>
      <c r="E399" s="89" t="s">
        <v>347</v>
      </c>
      <c r="F399" s="89" t="s">
        <v>841</v>
      </c>
      <c r="G399" s="89" t="s">
        <v>1439</v>
      </c>
      <c r="H399" s="93" t="s">
        <v>457</v>
      </c>
    </row>
    <row r="400" spans="2:8" x14ac:dyDescent="0.25">
      <c r="B400" s="89" t="s">
        <v>80</v>
      </c>
      <c r="C400" s="89" t="s">
        <v>81</v>
      </c>
      <c r="D400" s="89" t="s">
        <v>35</v>
      </c>
      <c r="E400" s="89" t="s">
        <v>347</v>
      </c>
      <c r="F400" s="89" t="s">
        <v>841</v>
      </c>
      <c r="G400" s="89" t="s">
        <v>1440</v>
      </c>
      <c r="H400" s="93" t="s">
        <v>437</v>
      </c>
    </row>
    <row r="401" spans="2:8" x14ac:dyDescent="0.25">
      <c r="B401" s="89" t="s">
        <v>80</v>
      </c>
      <c r="C401" s="89" t="s">
        <v>81</v>
      </c>
      <c r="D401" s="89" t="s">
        <v>35</v>
      </c>
      <c r="E401" s="89" t="s">
        <v>347</v>
      </c>
      <c r="F401" s="89" t="s">
        <v>841</v>
      </c>
      <c r="G401" s="89" t="s">
        <v>1441</v>
      </c>
      <c r="H401" s="93" t="s">
        <v>441</v>
      </c>
    </row>
    <row r="402" spans="2:8" x14ac:dyDescent="0.25">
      <c r="B402" s="89" t="s">
        <v>80</v>
      </c>
      <c r="C402" s="89" t="s">
        <v>81</v>
      </c>
      <c r="D402" s="89" t="s">
        <v>35</v>
      </c>
      <c r="E402" s="89" t="s">
        <v>347</v>
      </c>
      <c r="F402" s="89" t="s">
        <v>841</v>
      </c>
      <c r="G402" s="89" t="s">
        <v>1442</v>
      </c>
      <c r="H402" s="93" t="s">
        <v>1443</v>
      </c>
    </row>
    <row r="403" spans="2:8" x14ac:dyDescent="0.25">
      <c r="B403" s="89" t="s">
        <v>80</v>
      </c>
      <c r="C403" s="89" t="s">
        <v>81</v>
      </c>
      <c r="D403" s="89" t="s">
        <v>35</v>
      </c>
      <c r="E403" s="89" t="s">
        <v>347</v>
      </c>
      <c r="F403" s="89" t="s">
        <v>841</v>
      </c>
      <c r="G403" s="89" t="s">
        <v>1444</v>
      </c>
      <c r="H403" s="93" t="s">
        <v>527</v>
      </c>
    </row>
    <row r="404" spans="2:8" x14ac:dyDescent="0.25">
      <c r="B404" s="89" t="s">
        <v>80</v>
      </c>
      <c r="C404" s="89" t="s">
        <v>81</v>
      </c>
      <c r="D404" s="89" t="s">
        <v>35</v>
      </c>
      <c r="E404" s="89" t="s">
        <v>347</v>
      </c>
      <c r="F404" s="89" t="s">
        <v>841</v>
      </c>
      <c r="G404" s="89" t="s">
        <v>1445</v>
      </c>
      <c r="H404" s="93" t="s">
        <v>1446</v>
      </c>
    </row>
    <row r="405" spans="2:8" x14ac:dyDescent="0.25">
      <c r="B405" s="89" t="s">
        <v>80</v>
      </c>
      <c r="C405" s="89" t="s">
        <v>81</v>
      </c>
      <c r="D405" s="89" t="s">
        <v>35</v>
      </c>
      <c r="E405" s="89" t="s">
        <v>347</v>
      </c>
      <c r="F405" s="89" t="s">
        <v>841</v>
      </c>
      <c r="G405" s="89" t="s">
        <v>1447</v>
      </c>
      <c r="H405" s="93" t="s">
        <v>445</v>
      </c>
    </row>
    <row r="406" spans="2:8" x14ac:dyDescent="0.25">
      <c r="B406" s="89" t="s">
        <v>80</v>
      </c>
      <c r="C406" s="89" t="s">
        <v>81</v>
      </c>
      <c r="D406" s="89" t="s">
        <v>35</v>
      </c>
      <c r="E406" s="89" t="s">
        <v>347</v>
      </c>
      <c r="F406" s="89" t="s">
        <v>841</v>
      </c>
      <c r="G406" s="89" t="s">
        <v>1448</v>
      </c>
      <c r="H406" s="93" t="s">
        <v>455</v>
      </c>
    </row>
    <row r="407" spans="2:8" x14ac:dyDescent="0.25">
      <c r="B407" s="89" t="s">
        <v>80</v>
      </c>
      <c r="C407" s="89" t="s">
        <v>81</v>
      </c>
      <c r="D407" s="89" t="s">
        <v>35</v>
      </c>
      <c r="E407" s="89" t="s">
        <v>347</v>
      </c>
      <c r="F407" s="89" t="s">
        <v>841</v>
      </c>
      <c r="G407" s="89" t="s">
        <v>1449</v>
      </c>
      <c r="H407" s="93" t="s">
        <v>1450</v>
      </c>
    </row>
    <row r="408" spans="2:8" x14ac:dyDescent="0.25">
      <c r="B408" s="89" t="s">
        <v>80</v>
      </c>
      <c r="C408" s="89" t="s">
        <v>81</v>
      </c>
      <c r="D408" s="89" t="s">
        <v>35</v>
      </c>
      <c r="E408" s="89" t="s">
        <v>347</v>
      </c>
      <c r="F408" s="89" t="s">
        <v>841</v>
      </c>
      <c r="G408" s="89" t="s">
        <v>1451</v>
      </c>
      <c r="H408" s="93" t="s">
        <v>1452</v>
      </c>
    </row>
    <row r="409" spans="2:8" x14ac:dyDescent="0.25">
      <c r="B409" s="89" t="s">
        <v>80</v>
      </c>
      <c r="C409" s="89" t="s">
        <v>81</v>
      </c>
      <c r="D409" s="89" t="s">
        <v>35</v>
      </c>
      <c r="E409" s="89" t="s">
        <v>347</v>
      </c>
      <c r="F409" s="89" t="s">
        <v>841</v>
      </c>
      <c r="G409" s="89" t="s">
        <v>1453</v>
      </c>
      <c r="H409" s="93" t="s">
        <v>1454</v>
      </c>
    </row>
    <row r="410" spans="2:8" x14ac:dyDescent="0.25">
      <c r="B410" s="89" t="s">
        <v>80</v>
      </c>
      <c r="C410" s="89" t="s">
        <v>81</v>
      </c>
      <c r="D410" s="89" t="s">
        <v>35</v>
      </c>
      <c r="E410" s="89" t="s">
        <v>347</v>
      </c>
      <c r="F410" s="89" t="s">
        <v>841</v>
      </c>
      <c r="G410" s="89" t="s">
        <v>1455</v>
      </c>
      <c r="H410" s="93" t="s">
        <v>1456</v>
      </c>
    </row>
    <row r="411" spans="2:8" x14ac:dyDescent="0.25">
      <c r="B411" s="89" t="s">
        <v>80</v>
      </c>
      <c r="C411" s="89" t="s">
        <v>81</v>
      </c>
      <c r="D411" s="89" t="s">
        <v>35</v>
      </c>
      <c r="E411" s="89" t="s">
        <v>347</v>
      </c>
      <c r="F411" s="89" t="s">
        <v>841</v>
      </c>
      <c r="G411" s="89" t="s">
        <v>1457</v>
      </c>
      <c r="H411" s="93" t="s">
        <v>1458</v>
      </c>
    </row>
    <row r="412" spans="2:8" x14ac:dyDescent="0.25">
      <c r="B412" s="89" t="s">
        <v>80</v>
      </c>
      <c r="C412" s="89" t="s">
        <v>81</v>
      </c>
      <c r="D412" s="89" t="s">
        <v>35</v>
      </c>
      <c r="E412" s="89" t="s">
        <v>347</v>
      </c>
      <c r="F412" s="89" t="s">
        <v>841</v>
      </c>
      <c r="G412" s="89" t="s">
        <v>1459</v>
      </c>
      <c r="H412" s="93" t="s">
        <v>1460</v>
      </c>
    </row>
    <row r="413" spans="2:8" x14ac:dyDescent="0.25">
      <c r="B413" s="89" t="s">
        <v>80</v>
      </c>
      <c r="C413" s="89" t="s">
        <v>81</v>
      </c>
      <c r="D413" s="89" t="s">
        <v>35</v>
      </c>
      <c r="E413" s="89" t="s">
        <v>347</v>
      </c>
      <c r="F413" s="89" t="s">
        <v>841</v>
      </c>
      <c r="G413" s="89" t="s">
        <v>1461</v>
      </c>
      <c r="H413" s="93" t="s">
        <v>1462</v>
      </c>
    </row>
    <row r="414" spans="2:8" x14ac:dyDescent="0.25">
      <c r="B414" s="89" t="s">
        <v>80</v>
      </c>
      <c r="C414" s="89" t="s">
        <v>81</v>
      </c>
      <c r="D414" s="89" t="s">
        <v>35</v>
      </c>
      <c r="E414" s="89" t="s">
        <v>347</v>
      </c>
      <c r="F414" s="89" t="s">
        <v>841</v>
      </c>
      <c r="G414" s="89" t="s">
        <v>1463</v>
      </c>
      <c r="H414" s="93" t="s">
        <v>1464</v>
      </c>
    </row>
    <row r="415" spans="2:8" x14ac:dyDescent="0.25">
      <c r="B415" s="89" t="s">
        <v>80</v>
      </c>
      <c r="C415" s="89" t="s">
        <v>81</v>
      </c>
      <c r="D415" s="89" t="s">
        <v>35</v>
      </c>
      <c r="E415" s="89" t="s">
        <v>347</v>
      </c>
      <c r="F415" s="89" t="s">
        <v>841</v>
      </c>
      <c r="G415" s="89" t="s">
        <v>1465</v>
      </c>
      <c r="H415" s="93" t="s">
        <v>1466</v>
      </c>
    </row>
    <row r="416" spans="2:8" x14ac:dyDescent="0.25">
      <c r="B416" s="89" t="s">
        <v>80</v>
      </c>
      <c r="C416" s="89" t="s">
        <v>81</v>
      </c>
      <c r="D416" s="89" t="s">
        <v>35</v>
      </c>
      <c r="E416" s="89" t="s">
        <v>347</v>
      </c>
      <c r="F416" s="89" t="s">
        <v>841</v>
      </c>
      <c r="G416" s="89" t="s">
        <v>1467</v>
      </c>
      <c r="H416" s="93" t="s">
        <v>1468</v>
      </c>
    </row>
    <row r="417" spans="2:8" x14ac:dyDescent="0.25">
      <c r="B417" s="89" t="s">
        <v>80</v>
      </c>
      <c r="C417" s="89" t="s">
        <v>81</v>
      </c>
      <c r="D417" s="89" t="s">
        <v>35</v>
      </c>
      <c r="E417" s="89" t="s">
        <v>347</v>
      </c>
      <c r="F417" s="89" t="s">
        <v>841</v>
      </c>
      <c r="G417" s="89" t="s">
        <v>841</v>
      </c>
      <c r="H417" s="93" t="s">
        <v>1469</v>
      </c>
    </row>
    <row r="418" spans="2:8" x14ac:dyDescent="0.25">
      <c r="B418" s="89" t="s">
        <v>80</v>
      </c>
      <c r="C418" s="89" t="s">
        <v>81</v>
      </c>
      <c r="D418" s="89" t="s">
        <v>35</v>
      </c>
      <c r="E418" s="89" t="s">
        <v>347</v>
      </c>
      <c r="F418" s="89" t="s">
        <v>841</v>
      </c>
      <c r="G418" s="89" t="s">
        <v>1470</v>
      </c>
      <c r="H418" s="93" t="s">
        <v>1471</v>
      </c>
    </row>
    <row r="419" spans="2:8" x14ac:dyDescent="0.25">
      <c r="B419" s="89" t="s">
        <v>80</v>
      </c>
      <c r="C419" s="89" t="s">
        <v>81</v>
      </c>
      <c r="D419" s="89" t="s">
        <v>35</v>
      </c>
      <c r="E419" s="89" t="s">
        <v>347</v>
      </c>
      <c r="F419" s="89" t="s">
        <v>841</v>
      </c>
      <c r="G419" s="89" t="s">
        <v>1472</v>
      </c>
      <c r="H419" s="93" t="s">
        <v>1473</v>
      </c>
    </row>
    <row r="420" spans="2:8" x14ac:dyDescent="0.25">
      <c r="B420" s="89" t="s">
        <v>80</v>
      </c>
      <c r="C420" s="89" t="s">
        <v>81</v>
      </c>
      <c r="D420" s="89" t="s">
        <v>35</v>
      </c>
      <c r="E420" s="89" t="s">
        <v>347</v>
      </c>
      <c r="F420" s="89" t="s">
        <v>841</v>
      </c>
      <c r="G420" s="89" t="s">
        <v>1474</v>
      </c>
      <c r="H420" s="93" t="s">
        <v>1475</v>
      </c>
    </row>
    <row r="421" spans="2:8" x14ac:dyDescent="0.25">
      <c r="B421" s="89" t="s">
        <v>80</v>
      </c>
      <c r="C421" s="89" t="s">
        <v>81</v>
      </c>
      <c r="D421" s="89" t="s">
        <v>35</v>
      </c>
      <c r="E421" s="89" t="s">
        <v>347</v>
      </c>
      <c r="F421" s="89" t="s">
        <v>841</v>
      </c>
      <c r="G421" s="89" t="s">
        <v>841</v>
      </c>
      <c r="H421" s="93" t="s">
        <v>1476</v>
      </c>
    </row>
    <row r="422" spans="2:8" x14ac:dyDescent="0.25">
      <c r="B422" s="89" t="s">
        <v>80</v>
      </c>
      <c r="C422" s="89" t="s">
        <v>81</v>
      </c>
      <c r="D422" s="89" t="s">
        <v>35</v>
      </c>
      <c r="E422" s="89" t="s">
        <v>347</v>
      </c>
      <c r="F422" s="89" t="s">
        <v>841</v>
      </c>
      <c r="G422" s="89" t="s">
        <v>1477</v>
      </c>
      <c r="H422" s="93" t="s">
        <v>1478</v>
      </c>
    </row>
    <row r="423" spans="2:8" x14ac:dyDescent="0.25">
      <c r="B423" s="89" t="s">
        <v>80</v>
      </c>
      <c r="C423" s="89" t="s">
        <v>81</v>
      </c>
      <c r="D423" s="89" t="s">
        <v>35</v>
      </c>
      <c r="E423" s="89" t="s">
        <v>347</v>
      </c>
      <c r="F423" s="89" t="s">
        <v>841</v>
      </c>
      <c r="G423" s="89" t="s">
        <v>841</v>
      </c>
      <c r="H423" s="93" t="s">
        <v>1479</v>
      </c>
    </row>
    <row r="424" spans="2:8" x14ac:dyDescent="0.25">
      <c r="B424" s="89" t="s">
        <v>80</v>
      </c>
      <c r="C424" s="89" t="s">
        <v>81</v>
      </c>
      <c r="D424" s="89" t="s">
        <v>35</v>
      </c>
      <c r="E424" s="89" t="s">
        <v>347</v>
      </c>
      <c r="F424" s="89" t="s">
        <v>841</v>
      </c>
      <c r="G424" s="89" t="s">
        <v>841</v>
      </c>
      <c r="H424" s="93" t="s">
        <v>1480</v>
      </c>
    </row>
    <row r="425" spans="2:8" x14ac:dyDescent="0.25">
      <c r="B425" s="89" t="s">
        <v>80</v>
      </c>
      <c r="C425" s="89" t="s">
        <v>81</v>
      </c>
      <c r="D425" s="89" t="s">
        <v>35</v>
      </c>
      <c r="E425" s="89" t="s">
        <v>347</v>
      </c>
      <c r="F425" s="89" t="s">
        <v>841</v>
      </c>
      <c r="G425" s="89" t="s">
        <v>841</v>
      </c>
      <c r="H425" s="93" t="s">
        <v>1481</v>
      </c>
    </row>
    <row r="426" spans="2:8" x14ac:dyDescent="0.25">
      <c r="B426" s="89" t="s">
        <v>80</v>
      </c>
      <c r="C426" s="89" t="s">
        <v>81</v>
      </c>
      <c r="D426" s="89" t="s">
        <v>35</v>
      </c>
      <c r="E426" s="89" t="s">
        <v>347</v>
      </c>
      <c r="F426" s="89" t="s">
        <v>841</v>
      </c>
      <c r="G426" s="89" t="s">
        <v>1482</v>
      </c>
      <c r="H426" s="93" t="s">
        <v>1483</v>
      </c>
    </row>
    <row r="427" spans="2:8" x14ac:dyDescent="0.25">
      <c r="B427" s="89" t="s">
        <v>80</v>
      </c>
      <c r="C427" s="89" t="s">
        <v>81</v>
      </c>
      <c r="D427" s="89" t="s">
        <v>35</v>
      </c>
      <c r="E427" s="89" t="s">
        <v>347</v>
      </c>
      <c r="F427" s="89" t="s">
        <v>841</v>
      </c>
      <c r="G427" s="89" t="s">
        <v>841</v>
      </c>
      <c r="H427" s="93" t="s">
        <v>1484</v>
      </c>
    </row>
    <row r="428" spans="2:8" x14ac:dyDescent="0.25">
      <c r="B428" s="89" t="s">
        <v>80</v>
      </c>
      <c r="C428" s="89" t="s">
        <v>81</v>
      </c>
      <c r="D428" s="89" t="s">
        <v>35</v>
      </c>
      <c r="E428" s="89" t="s">
        <v>347</v>
      </c>
      <c r="F428" s="89" t="s">
        <v>841</v>
      </c>
      <c r="G428" s="89" t="s">
        <v>841</v>
      </c>
      <c r="H428" s="93" t="s">
        <v>1485</v>
      </c>
    </row>
    <row r="429" spans="2:8" x14ac:dyDescent="0.25">
      <c r="B429" s="89" t="s">
        <v>80</v>
      </c>
      <c r="C429" s="89" t="s">
        <v>81</v>
      </c>
      <c r="D429" s="89" t="s">
        <v>35</v>
      </c>
      <c r="E429" s="89" t="s">
        <v>347</v>
      </c>
      <c r="F429" s="89" t="s">
        <v>841</v>
      </c>
      <c r="G429" s="89" t="s">
        <v>1486</v>
      </c>
      <c r="H429" s="93" t="s">
        <v>1487</v>
      </c>
    </row>
    <row r="430" spans="2:8" x14ac:dyDescent="0.25">
      <c r="B430" s="89" t="s">
        <v>80</v>
      </c>
      <c r="C430" s="89" t="s">
        <v>81</v>
      </c>
      <c r="D430" s="89" t="s">
        <v>35</v>
      </c>
      <c r="E430" s="89" t="s">
        <v>347</v>
      </c>
      <c r="F430" s="89" t="s">
        <v>841</v>
      </c>
      <c r="G430" s="89" t="s">
        <v>1488</v>
      </c>
      <c r="H430" s="93" t="s">
        <v>1489</v>
      </c>
    </row>
    <row r="431" spans="2:8" x14ac:dyDescent="0.25">
      <c r="B431" s="89" t="s">
        <v>80</v>
      </c>
      <c r="C431" s="89" t="s">
        <v>81</v>
      </c>
      <c r="D431" s="89" t="s">
        <v>35</v>
      </c>
      <c r="E431" s="89" t="s">
        <v>347</v>
      </c>
      <c r="F431" s="89" t="s">
        <v>841</v>
      </c>
      <c r="G431" s="89" t="s">
        <v>841</v>
      </c>
      <c r="H431" s="93" t="s">
        <v>1490</v>
      </c>
    </row>
    <row r="432" spans="2:8" x14ac:dyDescent="0.25">
      <c r="B432" s="89" t="s">
        <v>80</v>
      </c>
      <c r="C432" s="89" t="s">
        <v>81</v>
      </c>
      <c r="D432" s="89" t="s">
        <v>35</v>
      </c>
      <c r="E432" s="89" t="s">
        <v>347</v>
      </c>
      <c r="F432" s="89" t="s">
        <v>841</v>
      </c>
      <c r="G432" s="89" t="s">
        <v>841</v>
      </c>
      <c r="H432" s="93" t="s">
        <v>1491</v>
      </c>
    </row>
    <row r="433" spans="2:8" x14ac:dyDescent="0.25">
      <c r="B433" s="89" t="s">
        <v>80</v>
      </c>
      <c r="C433" s="89" t="s">
        <v>81</v>
      </c>
      <c r="D433" s="89" t="s">
        <v>35</v>
      </c>
      <c r="E433" s="89" t="s">
        <v>347</v>
      </c>
      <c r="F433" s="89" t="s">
        <v>841</v>
      </c>
      <c r="G433" s="89" t="s">
        <v>841</v>
      </c>
      <c r="H433" s="93" t="s">
        <v>1492</v>
      </c>
    </row>
    <row r="434" spans="2:8" x14ac:dyDescent="0.25">
      <c r="B434" s="89" t="s">
        <v>80</v>
      </c>
      <c r="C434" s="89" t="s">
        <v>81</v>
      </c>
      <c r="D434" s="89" t="s">
        <v>35</v>
      </c>
      <c r="E434" s="89" t="s">
        <v>347</v>
      </c>
      <c r="F434" s="89" t="s">
        <v>841</v>
      </c>
      <c r="G434" s="89" t="s">
        <v>841</v>
      </c>
      <c r="H434" s="93" t="s">
        <v>1493</v>
      </c>
    </row>
    <row r="435" spans="2:8" x14ac:dyDescent="0.25">
      <c r="B435" s="89" t="s">
        <v>80</v>
      </c>
      <c r="C435" s="89" t="s">
        <v>81</v>
      </c>
      <c r="D435" s="89" t="s">
        <v>35</v>
      </c>
      <c r="E435" s="89" t="s">
        <v>347</v>
      </c>
      <c r="F435" s="89" t="s">
        <v>841</v>
      </c>
      <c r="G435" s="89" t="s">
        <v>1494</v>
      </c>
      <c r="H435" s="93" t="s">
        <v>1495</v>
      </c>
    </row>
    <row r="436" spans="2:8" x14ac:dyDescent="0.25">
      <c r="B436" s="89" t="s">
        <v>80</v>
      </c>
      <c r="C436" s="89" t="s">
        <v>81</v>
      </c>
      <c r="D436" s="89" t="s">
        <v>35</v>
      </c>
      <c r="E436" s="89" t="s">
        <v>347</v>
      </c>
      <c r="F436" s="89" t="s">
        <v>841</v>
      </c>
      <c r="G436" s="89" t="s">
        <v>841</v>
      </c>
      <c r="H436" s="93" t="s">
        <v>1496</v>
      </c>
    </row>
    <row r="437" spans="2:8" x14ac:dyDescent="0.25">
      <c r="B437" s="89" t="s">
        <v>80</v>
      </c>
      <c r="C437" s="89" t="s">
        <v>81</v>
      </c>
      <c r="D437" s="89" t="s">
        <v>35</v>
      </c>
      <c r="E437" s="89" t="s">
        <v>347</v>
      </c>
      <c r="F437" s="89" t="s">
        <v>841</v>
      </c>
      <c r="G437" s="89" t="s">
        <v>841</v>
      </c>
      <c r="H437" s="93" t="s">
        <v>1497</v>
      </c>
    </row>
    <row r="438" spans="2:8" x14ac:dyDescent="0.25">
      <c r="B438" s="89" t="s">
        <v>80</v>
      </c>
      <c r="C438" s="89" t="s">
        <v>81</v>
      </c>
      <c r="D438" s="89" t="s">
        <v>35</v>
      </c>
      <c r="E438" s="89" t="s">
        <v>347</v>
      </c>
      <c r="F438" s="89" t="s">
        <v>841</v>
      </c>
      <c r="G438" s="89" t="s">
        <v>841</v>
      </c>
      <c r="H438" s="93" t="s">
        <v>1498</v>
      </c>
    </row>
    <row r="439" spans="2:8" x14ac:dyDescent="0.25">
      <c r="B439" s="89" t="s">
        <v>80</v>
      </c>
      <c r="C439" s="89" t="s">
        <v>81</v>
      </c>
      <c r="D439" s="89" t="s">
        <v>35</v>
      </c>
      <c r="E439" s="89" t="s">
        <v>347</v>
      </c>
      <c r="F439" s="89" t="s">
        <v>841</v>
      </c>
      <c r="G439" s="89" t="s">
        <v>841</v>
      </c>
      <c r="H439" s="93" t="s">
        <v>1499</v>
      </c>
    </row>
    <row r="440" spans="2:8" x14ac:dyDescent="0.25">
      <c r="B440" s="89" t="s">
        <v>80</v>
      </c>
      <c r="C440" s="89" t="s">
        <v>81</v>
      </c>
      <c r="D440" s="89" t="s">
        <v>35</v>
      </c>
      <c r="E440" s="89" t="s">
        <v>347</v>
      </c>
      <c r="F440" s="89" t="s">
        <v>841</v>
      </c>
      <c r="G440" s="89" t="s">
        <v>841</v>
      </c>
      <c r="H440" s="93" t="s">
        <v>1500</v>
      </c>
    </row>
    <row r="441" spans="2:8" x14ac:dyDescent="0.25">
      <c r="B441" s="89" t="s">
        <v>80</v>
      </c>
      <c r="C441" s="89" t="s">
        <v>81</v>
      </c>
      <c r="D441" s="89" t="s">
        <v>35</v>
      </c>
      <c r="E441" s="89" t="s">
        <v>347</v>
      </c>
      <c r="F441" s="89" t="s">
        <v>841</v>
      </c>
      <c r="G441" s="89" t="s">
        <v>1501</v>
      </c>
      <c r="H441" s="93" t="s">
        <v>1502</v>
      </c>
    </row>
    <row r="442" spans="2:8" x14ac:dyDescent="0.25">
      <c r="B442" s="89" t="s">
        <v>80</v>
      </c>
      <c r="C442" s="89" t="s">
        <v>81</v>
      </c>
      <c r="D442" s="89" t="s">
        <v>35</v>
      </c>
      <c r="E442" s="89" t="s">
        <v>347</v>
      </c>
      <c r="F442" s="89" t="s">
        <v>841</v>
      </c>
      <c r="G442" s="89" t="s">
        <v>841</v>
      </c>
      <c r="H442" s="93" t="s">
        <v>1503</v>
      </c>
    </row>
    <row r="443" spans="2:8" x14ac:dyDescent="0.25">
      <c r="B443" s="89" t="s">
        <v>80</v>
      </c>
      <c r="C443" s="89" t="s">
        <v>81</v>
      </c>
      <c r="D443" s="89" t="s">
        <v>35</v>
      </c>
      <c r="E443" s="89" t="s">
        <v>347</v>
      </c>
      <c r="F443" s="89" t="s">
        <v>841</v>
      </c>
      <c r="G443" s="89" t="s">
        <v>841</v>
      </c>
      <c r="H443" s="93" t="s">
        <v>1504</v>
      </c>
    </row>
    <row r="444" spans="2:8" x14ac:dyDescent="0.25">
      <c r="B444" s="89" t="s">
        <v>80</v>
      </c>
      <c r="C444" s="89" t="s">
        <v>81</v>
      </c>
      <c r="D444" s="89" t="s">
        <v>35</v>
      </c>
      <c r="E444" s="89" t="s">
        <v>347</v>
      </c>
      <c r="F444" s="89" t="s">
        <v>841</v>
      </c>
      <c r="G444" s="89" t="s">
        <v>841</v>
      </c>
      <c r="H444" s="93" t="s">
        <v>1505</v>
      </c>
    </row>
    <row r="445" spans="2:8" x14ac:dyDescent="0.25">
      <c r="B445" s="89" t="s">
        <v>80</v>
      </c>
      <c r="C445" s="89" t="s">
        <v>81</v>
      </c>
      <c r="D445" s="89" t="s">
        <v>35</v>
      </c>
      <c r="E445" s="89" t="s">
        <v>347</v>
      </c>
      <c r="F445" s="89" t="s">
        <v>841</v>
      </c>
      <c r="G445" s="89" t="s">
        <v>841</v>
      </c>
      <c r="H445" s="93" t="s">
        <v>1506</v>
      </c>
    </row>
    <row r="446" spans="2:8" x14ac:dyDescent="0.25">
      <c r="B446" s="89" t="s">
        <v>80</v>
      </c>
      <c r="C446" s="89" t="s">
        <v>81</v>
      </c>
      <c r="D446" s="89" t="s">
        <v>35</v>
      </c>
      <c r="E446" s="89" t="s">
        <v>347</v>
      </c>
      <c r="F446" s="89" t="s">
        <v>841</v>
      </c>
      <c r="G446" s="89" t="s">
        <v>1507</v>
      </c>
      <c r="H446" s="93" t="s">
        <v>1508</v>
      </c>
    </row>
    <row r="447" spans="2:8" x14ac:dyDescent="0.25">
      <c r="B447" s="89" t="s">
        <v>80</v>
      </c>
      <c r="C447" s="89" t="s">
        <v>81</v>
      </c>
      <c r="D447" s="89" t="s">
        <v>35</v>
      </c>
      <c r="E447" s="89" t="s">
        <v>347</v>
      </c>
      <c r="F447" s="89" t="s">
        <v>841</v>
      </c>
      <c r="G447" s="89" t="s">
        <v>841</v>
      </c>
      <c r="H447" s="93" t="s">
        <v>1509</v>
      </c>
    </row>
    <row r="448" spans="2:8" x14ac:dyDescent="0.25">
      <c r="B448" s="89" t="s">
        <v>80</v>
      </c>
      <c r="C448" s="89" t="s">
        <v>81</v>
      </c>
      <c r="D448" s="89" t="s">
        <v>35</v>
      </c>
      <c r="E448" s="89" t="s">
        <v>347</v>
      </c>
      <c r="F448" s="89" t="s">
        <v>841</v>
      </c>
      <c r="G448" s="89" t="s">
        <v>841</v>
      </c>
      <c r="H448" s="93" t="s">
        <v>1510</v>
      </c>
    </row>
    <row r="449" spans="2:8" x14ac:dyDescent="0.25">
      <c r="B449" s="89" t="s">
        <v>80</v>
      </c>
      <c r="C449" s="89" t="s">
        <v>81</v>
      </c>
      <c r="D449" s="89" t="s">
        <v>35</v>
      </c>
      <c r="E449" s="89" t="s">
        <v>347</v>
      </c>
      <c r="F449" s="89" t="s">
        <v>841</v>
      </c>
      <c r="G449" s="89" t="s">
        <v>841</v>
      </c>
      <c r="H449" s="93" t="s">
        <v>1511</v>
      </c>
    </row>
    <row r="450" spans="2:8" x14ac:dyDescent="0.25">
      <c r="B450" s="89" t="s">
        <v>80</v>
      </c>
      <c r="C450" s="89" t="s">
        <v>81</v>
      </c>
      <c r="D450" s="89" t="s">
        <v>35</v>
      </c>
      <c r="E450" s="89" t="s">
        <v>347</v>
      </c>
      <c r="F450" s="89" t="s">
        <v>841</v>
      </c>
      <c r="G450" s="89" t="s">
        <v>841</v>
      </c>
      <c r="H450" s="93" t="s">
        <v>1512</v>
      </c>
    </row>
    <row r="451" spans="2:8" x14ac:dyDescent="0.25">
      <c r="B451" s="89" t="s">
        <v>80</v>
      </c>
      <c r="C451" s="89" t="s">
        <v>81</v>
      </c>
      <c r="D451" s="89" t="s">
        <v>35</v>
      </c>
      <c r="E451" s="89" t="s">
        <v>347</v>
      </c>
      <c r="F451" s="89" t="s">
        <v>841</v>
      </c>
      <c r="G451" s="89" t="s">
        <v>1513</v>
      </c>
      <c r="H451" s="93" t="s">
        <v>1514</v>
      </c>
    </row>
    <row r="452" spans="2:8" x14ac:dyDescent="0.25">
      <c r="B452" s="89" t="s">
        <v>80</v>
      </c>
      <c r="C452" s="89" t="s">
        <v>81</v>
      </c>
      <c r="D452" s="89" t="s">
        <v>35</v>
      </c>
      <c r="E452" s="89" t="s">
        <v>347</v>
      </c>
      <c r="F452" s="89" t="s">
        <v>841</v>
      </c>
      <c r="G452" s="89" t="s">
        <v>1515</v>
      </c>
      <c r="H452" s="93" t="s">
        <v>505</v>
      </c>
    </row>
    <row r="453" spans="2:8" x14ac:dyDescent="0.25">
      <c r="B453" s="89" t="s">
        <v>80</v>
      </c>
      <c r="C453" s="89" t="s">
        <v>81</v>
      </c>
      <c r="D453" s="89" t="s">
        <v>35</v>
      </c>
      <c r="E453" s="89" t="s">
        <v>347</v>
      </c>
      <c r="F453" s="89" t="s">
        <v>841</v>
      </c>
      <c r="G453" s="89" t="s">
        <v>841</v>
      </c>
      <c r="H453" s="93" t="s">
        <v>1516</v>
      </c>
    </row>
    <row r="454" spans="2:8" x14ac:dyDescent="0.25">
      <c r="B454" s="89" t="s">
        <v>80</v>
      </c>
      <c r="C454" s="89" t="s">
        <v>81</v>
      </c>
      <c r="D454" s="89" t="s">
        <v>35</v>
      </c>
      <c r="E454" s="89" t="s">
        <v>347</v>
      </c>
      <c r="F454" s="89" t="s">
        <v>841</v>
      </c>
      <c r="G454" s="89" t="s">
        <v>1517</v>
      </c>
      <c r="H454" s="93" t="s">
        <v>499</v>
      </c>
    </row>
    <row r="455" spans="2:8" x14ac:dyDescent="0.25">
      <c r="B455" s="89" t="s">
        <v>80</v>
      </c>
      <c r="C455" s="89" t="s">
        <v>81</v>
      </c>
      <c r="D455" s="89" t="s">
        <v>35</v>
      </c>
      <c r="E455" s="89" t="s">
        <v>347</v>
      </c>
      <c r="F455" s="89" t="s">
        <v>841</v>
      </c>
      <c r="G455" s="89" t="s">
        <v>1518</v>
      </c>
      <c r="H455" s="93" t="s">
        <v>1519</v>
      </c>
    </row>
    <row r="456" spans="2:8" x14ac:dyDescent="0.25">
      <c r="B456" s="89" t="s">
        <v>80</v>
      </c>
      <c r="C456" s="89" t="s">
        <v>81</v>
      </c>
      <c r="D456" s="89" t="s">
        <v>35</v>
      </c>
      <c r="E456" s="89" t="s">
        <v>347</v>
      </c>
      <c r="F456" s="89" t="s">
        <v>841</v>
      </c>
      <c r="G456" s="89" t="s">
        <v>1520</v>
      </c>
      <c r="H456" s="93" t="s">
        <v>519</v>
      </c>
    </row>
    <row r="457" spans="2:8" x14ac:dyDescent="0.25">
      <c r="B457" s="89" t="s">
        <v>80</v>
      </c>
      <c r="C457" s="89" t="s">
        <v>81</v>
      </c>
      <c r="D457" s="89" t="s">
        <v>35</v>
      </c>
      <c r="E457" s="89" t="s">
        <v>347</v>
      </c>
      <c r="F457" s="89" t="s">
        <v>841</v>
      </c>
      <c r="G457" s="89" t="s">
        <v>1521</v>
      </c>
      <c r="H457" s="93" t="s">
        <v>1522</v>
      </c>
    </row>
    <row r="458" spans="2:8" x14ac:dyDescent="0.25">
      <c r="B458" s="89" t="s">
        <v>80</v>
      </c>
      <c r="C458" s="89" t="s">
        <v>81</v>
      </c>
      <c r="D458" s="89" t="s">
        <v>35</v>
      </c>
      <c r="E458" s="89" t="s">
        <v>347</v>
      </c>
      <c r="F458" s="89" t="s">
        <v>841</v>
      </c>
      <c r="G458" s="89" t="s">
        <v>1523</v>
      </c>
      <c r="H458" s="93" t="s">
        <v>515</v>
      </c>
    </row>
    <row r="459" spans="2:8" x14ac:dyDescent="0.25">
      <c r="B459" s="89" t="s">
        <v>80</v>
      </c>
      <c r="C459" s="89" t="s">
        <v>81</v>
      </c>
      <c r="D459" s="89" t="s">
        <v>35</v>
      </c>
      <c r="E459" s="89" t="s">
        <v>347</v>
      </c>
      <c r="F459" s="89" t="s">
        <v>841</v>
      </c>
      <c r="G459" s="89" t="s">
        <v>1524</v>
      </c>
      <c r="H459" s="93" t="s">
        <v>1525</v>
      </c>
    </row>
    <row r="460" spans="2:8" x14ac:dyDescent="0.25">
      <c r="B460" s="89" t="s">
        <v>80</v>
      </c>
      <c r="C460" s="89" t="s">
        <v>81</v>
      </c>
      <c r="D460" s="89" t="s">
        <v>35</v>
      </c>
      <c r="E460" s="89" t="s">
        <v>347</v>
      </c>
      <c r="F460" s="89" t="s">
        <v>841</v>
      </c>
      <c r="G460" s="89" t="s">
        <v>1526</v>
      </c>
      <c r="H460" s="93" t="s">
        <v>1527</v>
      </c>
    </row>
    <row r="461" spans="2:8" x14ac:dyDescent="0.25">
      <c r="B461" s="89" t="s">
        <v>80</v>
      </c>
      <c r="C461" s="89" t="s">
        <v>81</v>
      </c>
      <c r="D461" s="89" t="s">
        <v>35</v>
      </c>
      <c r="E461" s="89" t="s">
        <v>347</v>
      </c>
      <c r="F461" s="89" t="s">
        <v>841</v>
      </c>
      <c r="G461" s="89" t="s">
        <v>1528</v>
      </c>
      <c r="H461" s="93" t="s">
        <v>511</v>
      </c>
    </row>
    <row r="462" spans="2:8" x14ac:dyDescent="0.25">
      <c r="B462" s="89" t="s">
        <v>80</v>
      </c>
      <c r="C462" s="89" t="s">
        <v>81</v>
      </c>
      <c r="D462" s="89" t="s">
        <v>35</v>
      </c>
      <c r="E462" s="89" t="s">
        <v>347</v>
      </c>
      <c r="F462" s="89" t="s">
        <v>841</v>
      </c>
      <c r="G462" s="89" t="s">
        <v>841</v>
      </c>
      <c r="H462" s="93" t="s">
        <v>1529</v>
      </c>
    </row>
    <row r="463" spans="2:8" x14ac:dyDescent="0.25">
      <c r="B463" s="89" t="s">
        <v>80</v>
      </c>
      <c r="C463" s="89" t="s">
        <v>81</v>
      </c>
      <c r="D463" s="89" t="s">
        <v>35</v>
      </c>
      <c r="E463" s="89" t="s">
        <v>347</v>
      </c>
      <c r="F463" s="89" t="s">
        <v>841</v>
      </c>
      <c r="G463" s="89" t="s">
        <v>1530</v>
      </c>
      <c r="H463" s="93" t="s">
        <v>1531</v>
      </c>
    </row>
    <row r="464" spans="2:8" x14ac:dyDescent="0.25">
      <c r="B464" s="89" t="s">
        <v>80</v>
      </c>
      <c r="C464" s="89" t="s">
        <v>81</v>
      </c>
      <c r="D464" s="89" t="s">
        <v>35</v>
      </c>
      <c r="E464" s="89" t="s">
        <v>347</v>
      </c>
      <c r="F464" s="89" t="s">
        <v>841</v>
      </c>
      <c r="G464" s="89" t="s">
        <v>841</v>
      </c>
      <c r="H464" s="93" t="s">
        <v>1532</v>
      </c>
    </row>
    <row r="465" spans="2:8" x14ac:dyDescent="0.25">
      <c r="B465" s="89" t="s">
        <v>80</v>
      </c>
      <c r="C465" s="89" t="s">
        <v>81</v>
      </c>
      <c r="D465" s="89" t="s">
        <v>35</v>
      </c>
      <c r="E465" s="89" t="s">
        <v>347</v>
      </c>
      <c r="F465" s="89" t="s">
        <v>841</v>
      </c>
      <c r="G465" s="89" t="s">
        <v>1533</v>
      </c>
      <c r="H465" s="93" t="s">
        <v>1534</v>
      </c>
    </row>
    <row r="466" spans="2:8" x14ac:dyDescent="0.25">
      <c r="B466" s="89" t="s">
        <v>80</v>
      </c>
      <c r="C466" s="89" t="s">
        <v>81</v>
      </c>
      <c r="D466" s="89" t="s">
        <v>35</v>
      </c>
      <c r="E466" s="89" t="s">
        <v>347</v>
      </c>
      <c r="F466" s="89" t="s">
        <v>841</v>
      </c>
      <c r="G466" s="89" t="s">
        <v>1535</v>
      </c>
      <c r="H466" s="93" t="s">
        <v>1536</v>
      </c>
    </row>
    <row r="467" spans="2:8" x14ac:dyDescent="0.25">
      <c r="B467" s="89" t="s">
        <v>80</v>
      </c>
      <c r="C467" s="89" t="s">
        <v>81</v>
      </c>
      <c r="D467" s="89" t="s">
        <v>35</v>
      </c>
      <c r="E467" s="89" t="s">
        <v>347</v>
      </c>
      <c r="F467" s="89" t="s">
        <v>841</v>
      </c>
      <c r="G467" s="89" t="s">
        <v>1537</v>
      </c>
      <c r="H467" s="93" t="s">
        <v>1538</v>
      </c>
    </row>
    <row r="468" spans="2:8" x14ac:dyDescent="0.25">
      <c r="B468" s="89" t="s">
        <v>80</v>
      </c>
      <c r="C468" s="89" t="s">
        <v>81</v>
      </c>
      <c r="D468" s="89" t="s">
        <v>35</v>
      </c>
      <c r="E468" s="89" t="s">
        <v>347</v>
      </c>
      <c r="F468" s="89" t="s">
        <v>841</v>
      </c>
      <c r="G468" s="89" t="s">
        <v>1539</v>
      </c>
      <c r="H468" s="93" t="s">
        <v>1540</v>
      </c>
    </row>
    <row r="469" spans="2:8" x14ac:dyDescent="0.25">
      <c r="B469" s="89" t="s">
        <v>80</v>
      </c>
      <c r="C469" s="89" t="s">
        <v>81</v>
      </c>
      <c r="D469" s="89" t="s">
        <v>35</v>
      </c>
      <c r="E469" s="89" t="s">
        <v>347</v>
      </c>
      <c r="F469" s="89" t="s">
        <v>841</v>
      </c>
      <c r="G469" s="89" t="s">
        <v>1541</v>
      </c>
      <c r="H469" s="93" t="s">
        <v>1542</v>
      </c>
    </row>
    <row r="470" spans="2:8" x14ac:dyDescent="0.25">
      <c r="B470" s="89" t="s">
        <v>80</v>
      </c>
      <c r="C470" s="89" t="s">
        <v>81</v>
      </c>
      <c r="D470" s="89" t="s">
        <v>35</v>
      </c>
      <c r="E470" s="89" t="s">
        <v>347</v>
      </c>
      <c r="F470" s="89" t="s">
        <v>841</v>
      </c>
      <c r="G470" s="89" t="s">
        <v>1543</v>
      </c>
      <c r="H470" s="93" t="s">
        <v>1544</v>
      </c>
    </row>
    <row r="471" spans="2:8" x14ac:dyDescent="0.25">
      <c r="B471" s="89" t="s">
        <v>80</v>
      </c>
      <c r="C471" s="89" t="s">
        <v>81</v>
      </c>
      <c r="D471" s="89" t="s">
        <v>35</v>
      </c>
      <c r="E471" s="89" t="s">
        <v>347</v>
      </c>
      <c r="F471" s="89" t="s">
        <v>841</v>
      </c>
      <c r="G471" s="89" t="s">
        <v>1545</v>
      </c>
      <c r="H471" s="93" t="s">
        <v>1546</v>
      </c>
    </row>
    <row r="472" spans="2:8" x14ac:dyDescent="0.25">
      <c r="B472" s="89" t="s">
        <v>80</v>
      </c>
      <c r="C472" s="89" t="s">
        <v>81</v>
      </c>
      <c r="D472" s="89" t="s">
        <v>35</v>
      </c>
      <c r="E472" s="89" t="s">
        <v>347</v>
      </c>
      <c r="F472" s="89" t="s">
        <v>841</v>
      </c>
      <c r="G472" s="89" t="s">
        <v>1547</v>
      </c>
      <c r="H472" s="93" t="s">
        <v>1548</v>
      </c>
    </row>
    <row r="473" spans="2:8" x14ac:dyDescent="0.25">
      <c r="B473" s="89" t="s">
        <v>80</v>
      </c>
      <c r="C473" s="89" t="s">
        <v>81</v>
      </c>
      <c r="D473" s="89" t="s">
        <v>35</v>
      </c>
      <c r="E473" s="89" t="s">
        <v>347</v>
      </c>
      <c r="F473" s="89" t="s">
        <v>841</v>
      </c>
      <c r="G473" s="89" t="s">
        <v>1549</v>
      </c>
      <c r="H473" s="93" t="s">
        <v>1550</v>
      </c>
    </row>
    <row r="474" spans="2:8" x14ac:dyDescent="0.25">
      <c r="B474" s="89" t="s">
        <v>80</v>
      </c>
      <c r="C474" s="89" t="s">
        <v>81</v>
      </c>
      <c r="D474" s="89" t="s">
        <v>35</v>
      </c>
      <c r="E474" s="89" t="s">
        <v>347</v>
      </c>
      <c r="F474" s="89" t="s">
        <v>841</v>
      </c>
      <c r="G474" s="89" t="s">
        <v>1551</v>
      </c>
      <c r="H474" s="93" t="s">
        <v>1552</v>
      </c>
    </row>
    <row r="475" spans="2:8" x14ac:dyDescent="0.25">
      <c r="B475" s="89" t="s">
        <v>80</v>
      </c>
      <c r="C475" s="89" t="s">
        <v>81</v>
      </c>
      <c r="D475" s="89" t="s">
        <v>35</v>
      </c>
      <c r="E475" s="89" t="s">
        <v>347</v>
      </c>
      <c r="F475" s="89" t="s">
        <v>841</v>
      </c>
      <c r="G475" s="89" t="s">
        <v>1382</v>
      </c>
      <c r="H475" s="93" t="s">
        <v>1553</v>
      </c>
    </row>
    <row r="476" spans="2:8" x14ac:dyDescent="0.25">
      <c r="B476" s="89" t="s">
        <v>80</v>
      </c>
      <c r="C476" s="89" t="s">
        <v>81</v>
      </c>
      <c r="D476" s="89" t="s">
        <v>35</v>
      </c>
      <c r="E476" s="89" t="s">
        <v>347</v>
      </c>
      <c r="F476" s="89" t="s">
        <v>841</v>
      </c>
      <c r="G476" s="89" t="s">
        <v>1554</v>
      </c>
      <c r="H476" s="93" t="s">
        <v>1555</v>
      </c>
    </row>
    <row r="477" spans="2:8" x14ac:dyDescent="0.25">
      <c r="B477" s="89" t="s">
        <v>80</v>
      </c>
      <c r="C477" s="89" t="s">
        <v>81</v>
      </c>
      <c r="D477" s="89" t="s">
        <v>35</v>
      </c>
      <c r="E477" s="89" t="s">
        <v>347</v>
      </c>
      <c r="F477" s="89" t="s">
        <v>841</v>
      </c>
      <c r="G477" s="89" t="s">
        <v>1556</v>
      </c>
      <c r="H477" s="93" t="s">
        <v>1557</v>
      </c>
    </row>
    <row r="478" spans="2:8" x14ac:dyDescent="0.25">
      <c r="B478" s="89" t="s">
        <v>80</v>
      </c>
      <c r="C478" s="89" t="s">
        <v>81</v>
      </c>
      <c r="D478" s="89" t="s">
        <v>35</v>
      </c>
      <c r="E478" s="89" t="s">
        <v>347</v>
      </c>
      <c r="F478" s="89" t="s">
        <v>841</v>
      </c>
      <c r="G478" s="89" t="s">
        <v>1382</v>
      </c>
      <c r="H478" s="93" t="s">
        <v>1558</v>
      </c>
    </row>
    <row r="479" spans="2:8" x14ac:dyDescent="0.25">
      <c r="B479" s="89" t="s">
        <v>80</v>
      </c>
      <c r="C479" s="89" t="s">
        <v>81</v>
      </c>
      <c r="D479" s="89" t="s">
        <v>35</v>
      </c>
      <c r="E479" s="89" t="s">
        <v>347</v>
      </c>
      <c r="F479" s="89" t="s">
        <v>841</v>
      </c>
      <c r="G479" s="89" t="s">
        <v>841</v>
      </c>
      <c r="H479" s="93" t="s">
        <v>1559</v>
      </c>
    </row>
    <row r="480" spans="2:8" x14ac:dyDescent="0.25">
      <c r="B480" s="89" t="s">
        <v>80</v>
      </c>
      <c r="C480" s="89" t="s">
        <v>81</v>
      </c>
      <c r="D480" s="89" t="s">
        <v>35</v>
      </c>
      <c r="E480" s="89" t="s">
        <v>347</v>
      </c>
      <c r="F480" s="89" t="s">
        <v>842</v>
      </c>
      <c r="G480" s="89" t="s">
        <v>486</v>
      </c>
      <c r="H480" s="93" t="s">
        <v>487</v>
      </c>
    </row>
    <row r="481" spans="2:8" x14ac:dyDescent="0.25">
      <c r="B481" s="89" t="s">
        <v>80</v>
      </c>
      <c r="C481" s="89" t="s">
        <v>81</v>
      </c>
      <c r="D481" s="89" t="s">
        <v>35</v>
      </c>
      <c r="E481" s="89" t="s">
        <v>347</v>
      </c>
      <c r="F481" s="89" t="s">
        <v>842</v>
      </c>
      <c r="G481" s="89" t="s">
        <v>480</v>
      </c>
      <c r="H481" s="93" t="s">
        <v>481</v>
      </c>
    </row>
    <row r="482" spans="2:8" x14ac:dyDescent="0.25">
      <c r="B482" s="89" t="s">
        <v>80</v>
      </c>
      <c r="C482" s="89" t="s">
        <v>81</v>
      </c>
      <c r="D482" s="89" t="s">
        <v>35</v>
      </c>
      <c r="E482" s="89" t="s">
        <v>347</v>
      </c>
      <c r="F482" s="89" t="s">
        <v>842</v>
      </c>
      <c r="G482" s="89" t="s">
        <v>478</v>
      </c>
      <c r="H482" s="93" t="s">
        <v>479</v>
      </c>
    </row>
    <row r="483" spans="2:8" x14ac:dyDescent="0.25">
      <c r="B483" s="89" t="s">
        <v>80</v>
      </c>
      <c r="C483" s="89" t="s">
        <v>81</v>
      </c>
      <c r="D483" s="89" t="s">
        <v>35</v>
      </c>
      <c r="E483" s="89" t="s">
        <v>347</v>
      </c>
      <c r="F483" s="89" t="s">
        <v>842</v>
      </c>
      <c r="G483" s="89" t="s">
        <v>484</v>
      </c>
      <c r="H483" s="93" t="s">
        <v>485</v>
      </c>
    </row>
    <row r="484" spans="2:8" x14ac:dyDescent="0.25">
      <c r="B484" s="89" t="s">
        <v>80</v>
      </c>
      <c r="C484" s="89" t="s">
        <v>81</v>
      </c>
      <c r="D484" s="89" t="s">
        <v>35</v>
      </c>
      <c r="E484" s="89" t="s">
        <v>347</v>
      </c>
      <c r="F484" s="89" t="s">
        <v>842</v>
      </c>
      <c r="G484" s="89" t="s">
        <v>482</v>
      </c>
      <c r="H484" s="93" t="s">
        <v>483</v>
      </c>
    </row>
    <row r="485" spans="2:8" x14ac:dyDescent="0.25">
      <c r="B485" s="89" t="s">
        <v>80</v>
      </c>
      <c r="C485" s="89" t="s">
        <v>81</v>
      </c>
      <c r="D485" s="89" t="s">
        <v>35</v>
      </c>
      <c r="E485" s="89" t="s">
        <v>347</v>
      </c>
      <c r="F485" s="89" t="s">
        <v>843</v>
      </c>
      <c r="G485" s="89" t="s">
        <v>1560</v>
      </c>
      <c r="H485" s="93" t="s">
        <v>1561</v>
      </c>
    </row>
    <row r="486" spans="2:8" x14ac:dyDescent="0.25">
      <c r="B486" s="89" t="s">
        <v>80</v>
      </c>
      <c r="C486" s="89" t="s">
        <v>81</v>
      </c>
      <c r="D486" s="89" t="s">
        <v>35</v>
      </c>
      <c r="E486" s="89" t="s">
        <v>347</v>
      </c>
      <c r="F486" s="89" t="s">
        <v>843</v>
      </c>
      <c r="G486" s="89" t="s">
        <v>1562</v>
      </c>
      <c r="H486" s="93" t="s">
        <v>1563</v>
      </c>
    </row>
    <row r="487" spans="2:8" x14ac:dyDescent="0.25">
      <c r="B487" s="89" t="s">
        <v>80</v>
      </c>
      <c r="C487" s="89" t="s">
        <v>81</v>
      </c>
      <c r="D487" s="89" t="s">
        <v>35</v>
      </c>
      <c r="E487" s="89" t="s">
        <v>347</v>
      </c>
      <c r="F487" s="89" t="s">
        <v>843</v>
      </c>
      <c r="G487" s="89" t="s">
        <v>1560</v>
      </c>
      <c r="H487" s="93" t="s">
        <v>1564</v>
      </c>
    </row>
    <row r="488" spans="2:8" x14ac:dyDescent="0.25">
      <c r="B488" s="89" t="s">
        <v>80</v>
      </c>
      <c r="C488" s="89" t="s">
        <v>81</v>
      </c>
      <c r="D488" s="89" t="s">
        <v>35</v>
      </c>
      <c r="E488" s="89" t="s">
        <v>347</v>
      </c>
      <c r="F488" s="89" t="s">
        <v>843</v>
      </c>
      <c r="G488" s="89" t="s">
        <v>1565</v>
      </c>
      <c r="H488" s="93" t="s">
        <v>1566</v>
      </c>
    </row>
    <row r="489" spans="2:8" x14ac:dyDescent="0.25">
      <c r="B489" s="89" t="s">
        <v>80</v>
      </c>
      <c r="C489" s="89" t="s">
        <v>81</v>
      </c>
      <c r="D489" s="89" t="s">
        <v>35</v>
      </c>
      <c r="E489" s="89" t="s">
        <v>347</v>
      </c>
      <c r="F489" s="89" t="s">
        <v>843</v>
      </c>
      <c r="G489" s="89" t="s">
        <v>530</v>
      </c>
      <c r="H489" s="93" t="s">
        <v>531</v>
      </c>
    </row>
    <row r="490" spans="2:8" x14ac:dyDescent="0.25">
      <c r="B490" s="89" t="s">
        <v>80</v>
      </c>
      <c r="C490" s="89" t="s">
        <v>81</v>
      </c>
      <c r="D490" s="89" t="s">
        <v>35</v>
      </c>
      <c r="E490" s="89" t="s">
        <v>347</v>
      </c>
      <c r="F490" s="89" t="s">
        <v>843</v>
      </c>
      <c r="G490" s="89" t="s">
        <v>843</v>
      </c>
      <c r="H490" s="93" t="s">
        <v>1567</v>
      </c>
    </row>
    <row r="491" spans="2:8" x14ac:dyDescent="0.25">
      <c r="B491" s="89" t="s">
        <v>80</v>
      </c>
      <c r="C491" s="89" t="s">
        <v>81</v>
      </c>
      <c r="D491" s="89" t="s">
        <v>35</v>
      </c>
      <c r="E491" s="89" t="s">
        <v>347</v>
      </c>
      <c r="F491" s="89" t="s">
        <v>843</v>
      </c>
      <c r="G491" s="89" t="s">
        <v>843</v>
      </c>
      <c r="H491" s="93" t="s">
        <v>1568</v>
      </c>
    </row>
    <row r="492" spans="2:8" x14ac:dyDescent="0.25">
      <c r="B492" s="89" t="s">
        <v>80</v>
      </c>
      <c r="C492" s="89" t="s">
        <v>81</v>
      </c>
      <c r="D492" s="89" t="s">
        <v>35</v>
      </c>
      <c r="E492" s="89" t="s">
        <v>347</v>
      </c>
      <c r="F492" s="89" t="s">
        <v>843</v>
      </c>
      <c r="G492" s="89" t="s">
        <v>1569</v>
      </c>
      <c r="H492" s="93" t="s">
        <v>1570</v>
      </c>
    </row>
    <row r="493" spans="2:8" x14ac:dyDescent="0.25">
      <c r="B493" s="89" t="s">
        <v>80</v>
      </c>
      <c r="C493" s="89" t="s">
        <v>81</v>
      </c>
      <c r="D493" s="89" t="s">
        <v>35</v>
      </c>
      <c r="E493" s="89" t="s">
        <v>347</v>
      </c>
      <c r="F493" s="89" t="s">
        <v>843</v>
      </c>
      <c r="G493" s="89" t="s">
        <v>843</v>
      </c>
      <c r="H493" s="93" t="s">
        <v>1571</v>
      </c>
    </row>
    <row r="494" spans="2:8" x14ac:dyDescent="0.25">
      <c r="B494" s="89" t="s">
        <v>80</v>
      </c>
      <c r="C494" s="89" t="s">
        <v>81</v>
      </c>
      <c r="D494" s="89" t="s">
        <v>35</v>
      </c>
      <c r="E494" s="89" t="s">
        <v>347</v>
      </c>
      <c r="F494" s="89" t="s">
        <v>843</v>
      </c>
      <c r="G494" s="89" t="s">
        <v>843</v>
      </c>
      <c r="H494" s="93" t="s">
        <v>1572</v>
      </c>
    </row>
    <row r="495" spans="2:8" x14ac:dyDescent="0.25">
      <c r="B495" s="89" t="s">
        <v>80</v>
      </c>
      <c r="C495" s="89" t="s">
        <v>81</v>
      </c>
      <c r="D495" s="89" t="s">
        <v>35</v>
      </c>
      <c r="E495" s="89" t="s">
        <v>347</v>
      </c>
      <c r="F495" s="89" t="s">
        <v>843</v>
      </c>
      <c r="G495" s="89" t="s">
        <v>1573</v>
      </c>
      <c r="H495" s="93" t="s">
        <v>1574</v>
      </c>
    </row>
    <row r="496" spans="2:8" x14ac:dyDescent="0.25">
      <c r="B496" s="89" t="s">
        <v>80</v>
      </c>
      <c r="C496" s="89" t="s">
        <v>81</v>
      </c>
      <c r="D496" s="89" t="s">
        <v>35</v>
      </c>
      <c r="E496" s="89" t="s">
        <v>347</v>
      </c>
      <c r="F496" s="89" t="s">
        <v>843</v>
      </c>
      <c r="G496" s="89" t="s">
        <v>1575</v>
      </c>
      <c r="H496" s="93" t="s">
        <v>1576</v>
      </c>
    </row>
    <row r="497" spans="2:8" x14ac:dyDescent="0.25">
      <c r="B497" s="89" t="s">
        <v>80</v>
      </c>
      <c r="C497" s="89" t="s">
        <v>81</v>
      </c>
      <c r="D497" s="89" t="s">
        <v>35</v>
      </c>
      <c r="E497" s="89" t="s">
        <v>347</v>
      </c>
      <c r="F497" s="89" t="s">
        <v>843</v>
      </c>
      <c r="G497" s="89" t="s">
        <v>843</v>
      </c>
      <c r="H497" s="93" t="s">
        <v>1577</v>
      </c>
    </row>
    <row r="498" spans="2:8" x14ac:dyDescent="0.25">
      <c r="B498" s="89" t="s">
        <v>80</v>
      </c>
      <c r="C498" s="89" t="s">
        <v>81</v>
      </c>
      <c r="D498" s="89" t="s">
        <v>35</v>
      </c>
      <c r="E498" s="89" t="s">
        <v>347</v>
      </c>
      <c r="F498" s="89" t="s">
        <v>843</v>
      </c>
      <c r="G498" s="89" t="s">
        <v>843</v>
      </c>
      <c r="H498" s="93" t="s">
        <v>1578</v>
      </c>
    </row>
    <row r="499" spans="2:8" x14ac:dyDescent="0.25">
      <c r="B499" s="89" t="s">
        <v>80</v>
      </c>
      <c r="C499" s="89" t="s">
        <v>81</v>
      </c>
      <c r="D499" s="89" t="s">
        <v>35</v>
      </c>
      <c r="E499" s="89" t="s">
        <v>347</v>
      </c>
      <c r="F499" s="89" t="s">
        <v>843</v>
      </c>
      <c r="G499" s="89" t="s">
        <v>843</v>
      </c>
      <c r="H499" s="93" t="s">
        <v>1579</v>
      </c>
    </row>
    <row r="500" spans="2:8" x14ac:dyDescent="0.25">
      <c r="B500" s="89" t="s">
        <v>80</v>
      </c>
      <c r="C500" s="89" t="s">
        <v>81</v>
      </c>
      <c r="D500" s="89" t="s">
        <v>35</v>
      </c>
      <c r="E500" s="89" t="s">
        <v>347</v>
      </c>
      <c r="F500" s="89" t="s">
        <v>843</v>
      </c>
      <c r="G500" s="89" t="s">
        <v>843</v>
      </c>
      <c r="H500" s="93" t="s">
        <v>1580</v>
      </c>
    </row>
    <row r="501" spans="2:8" x14ac:dyDescent="0.25">
      <c r="B501" s="89" t="s">
        <v>80</v>
      </c>
      <c r="C501" s="89" t="s">
        <v>81</v>
      </c>
      <c r="D501" s="89" t="s">
        <v>35</v>
      </c>
      <c r="E501" s="89" t="s">
        <v>347</v>
      </c>
      <c r="F501" s="89" t="s">
        <v>843</v>
      </c>
      <c r="G501" s="89" t="s">
        <v>843</v>
      </c>
      <c r="H501" s="93" t="s">
        <v>1581</v>
      </c>
    </row>
    <row r="502" spans="2:8" x14ac:dyDescent="0.25">
      <c r="B502" s="89" t="s">
        <v>80</v>
      </c>
      <c r="C502" s="89" t="s">
        <v>81</v>
      </c>
      <c r="D502" s="89" t="s">
        <v>35</v>
      </c>
      <c r="E502" s="89" t="s">
        <v>347</v>
      </c>
      <c r="F502" s="89" t="s">
        <v>843</v>
      </c>
      <c r="G502" s="89" t="s">
        <v>843</v>
      </c>
      <c r="H502" s="93" t="s">
        <v>1582</v>
      </c>
    </row>
    <row r="503" spans="2:8" x14ac:dyDescent="0.25">
      <c r="B503" s="89" t="s">
        <v>80</v>
      </c>
      <c r="C503" s="89" t="s">
        <v>81</v>
      </c>
      <c r="D503" s="89" t="s">
        <v>35</v>
      </c>
      <c r="E503" s="89" t="s">
        <v>347</v>
      </c>
      <c r="F503" s="89" t="s">
        <v>843</v>
      </c>
      <c r="G503" s="89" t="s">
        <v>843</v>
      </c>
      <c r="H503" s="93" t="s">
        <v>1583</v>
      </c>
    </row>
    <row r="504" spans="2:8" x14ac:dyDescent="0.25">
      <c r="B504" s="89" t="s">
        <v>80</v>
      </c>
      <c r="C504" s="89" t="s">
        <v>81</v>
      </c>
      <c r="D504" s="89" t="s">
        <v>35</v>
      </c>
      <c r="E504" s="89" t="s">
        <v>347</v>
      </c>
      <c r="F504" s="89" t="s">
        <v>843</v>
      </c>
      <c r="G504" s="89" t="s">
        <v>1584</v>
      </c>
      <c r="H504" s="93" t="s">
        <v>1585</v>
      </c>
    </row>
    <row r="505" spans="2:8" x14ac:dyDescent="0.25">
      <c r="B505" s="89" t="s">
        <v>80</v>
      </c>
      <c r="C505" s="89" t="s">
        <v>81</v>
      </c>
      <c r="D505" s="89" t="s">
        <v>35</v>
      </c>
      <c r="E505" s="89" t="s">
        <v>347</v>
      </c>
      <c r="F505" s="89" t="s">
        <v>843</v>
      </c>
      <c r="G505" s="89" t="s">
        <v>1586</v>
      </c>
      <c r="H505" s="93" t="s">
        <v>473</v>
      </c>
    </row>
    <row r="506" spans="2:8" x14ac:dyDescent="0.25">
      <c r="B506" s="89" t="s">
        <v>80</v>
      </c>
      <c r="C506" s="89" t="s">
        <v>81</v>
      </c>
      <c r="D506" s="89" t="s">
        <v>35</v>
      </c>
      <c r="E506" s="89" t="s">
        <v>347</v>
      </c>
      <c r="F506" s="89" t="s">
        <v>843</v>
      </c>
      <c r="G506" s="89" t="s">
        <v>1587</v>
      </c>
      <c r="H506" s="93" t="s">
        <v>475</v>
      </c>
    </row>
    <row r="507" spans="2:8" x14ac:dyDescent="0.25">
      <c r="B507" s="89" t="s">
        <v>80</v>
      </c>
      <c r="C507" s="89" t="s">
        <v>81</v>
      </c>
      <c r="D507" s="89" t="s">
        <v>35</v>
      </c>
      <c r="E507" s="89" t="s">
        <v>347</v>
      </c>
      <c r="F507" s="89" t="s">
        <v>843</v>
      </c>
      <c r="G507" s="89" t="s">
        <v>1588</v>
      </c>
      <c r="H507" s="93" t="s">
        <v>1589</v>
      </c>
    </row>
    <row r="508" spans="2:8" x14ac:dyDescent="0.25">
      <c r="B508" s="89" t="s">
        <v>80</v>
      </c>
      <c r="C508" s="89" t="s">
        <v>81</v>
      </c>
      <c r="D508" s="89" t="s">
        <v>35</v>
      </c>
      <c r="E508" s="89" t="s">
        <v>347</v>
      </c>
      <c r="F508" s="89" t="s">
        <v>843</v>
      </c>
      <c r="G508" s="89" t="s">
        <v>1590</v>
      </c>
      <c r="H508" s="93" t="s">
        <v>461</v>
      </c>
    </row>
    <row r="509" spans="2:8" x14ac:dyDescent="0.25">
      <c r="B509" s="89" t="s">
        <v>80</v>
      </c>
      <c r="C509" s="89" t="s">
        <v>81</v>
      </c>
      <c r="D509" s="89" t="s">
        <v>35</v>
      </c>
      <c r="E509" s="89" t="s">
        <v>347</v>
      </c>
      <c r="F509" s="89" t="s">
        <v>843</v>
      </c>
      <c r="G509" s="89" t="s">
        <v>468</v>
      </c>
      <c r="H509" s="93" t="s">
        <v>469</v>
      </c>
    </row>
    <row r="510" spans="2:8" x14ac:dyDescent="0.25">
      <c r="B510" s="89" t="s">
        <v>80</v>
      </c>
      <c r="C510" s="89" t="s">
        <v>81</v>
      </c>
      <c r="D510" s="89" t="s">
        <v>35</v>
      </c>
      <c r="E510" s="89" t="s">
        <v>347</v>
      </c>
      <c r="F510" s="89" t="s">
        <v>843</v>
      </c>
      <c r="G510" s="89" t="s">
        <v>1591</v>
      </c>
      <c r="H510" s="93" t="s">
        <v>471</v>
      </c>
    </row>
    <row r="511" spans="2:8" x14ac:dyDescent="0.25">
      <c r="B511" s="89" t="s">
        <v>80</v>
      </c>
      <c r="C511" s="89" t="s">
        <v>81</v>
      </c>
      <c r="D511" s="89" t="s">
        <v>35</v>
      </c>
      <c r="E511" s="89" t="s">
        <v>347</v>
      </c>
      <c r="F511" s="89" t="s">
        <v>843</v>
      </c>
      <c r="G511" s="89" t="s">
        <v>1592</v>
      </c>
      <c r="H511" s="93" t="s">
        <v>1593</v>
      </c>
    </row>
    <row r="512" spans="2:8" x14ac:dyDescent="0.25">
      <c r="B512" s="89" t="s">
        <v>80</v>
      </c>
      <c r="C512" s="89" t="s">
        <v>81</v>
      </c>
      <c r="D512" s="89" t="s">
        <v>35</v>
      </c>
      <c r="E512" s="89" t="s">
        <v>347</v>
      </c>
      <c r="F512" s="89" t="s">
        <v>843</v>
      </c>
      <c r="G512" s="89" t="s">
        <v>1594</v>
      </c>
      <c r="H512" s="93" t="s">
        <v>467</v>
      </c>
    </row>
    <row r="513" spans="2:8" x14ac:dyDescent="0.25">
      <c r="B513" s="89" t="s">
        <v>80</v>
      </c>
      <c r="C513" s="89" t="s">
        <v>81</v>
      </c>
      <c r="D513" s="89" t="s">
        <v>35</v>
      </c>
      <c r="E513" s="89" t="s">
        <v>347</v>
      </c>
      <c r="F513" s="89" t="s">
        <v>843</v>
      </c>
      <c r="G513" s="89" t="s">
        <v>1595</v>
      </c>
      <c r="H513" s="93" t="s">
        <v>459</v>
      </c>
    </row>
    <row r="514" spans="2:8" x14ac:dyDescent="0.25">
      <c r="B514" s="89" t="s">
        <v>80</v>
      </c>
      <c r="C514" s="89" t="s">
        <v>81</v>
      </c>
      <c r="D514" s="89" t="s">
        <v>35</v>
      </c>
      <c r="E514" s="89" t="s">
        <v>347</v>
      </c>
      <c r="F514" s="89" t="s">
        <v>843</v>
      </c>
      <c r="G514" s="89" t="s">
        <v>843</v>
      </c>
      <c r="H514" s="93" t="s">
        <v>1596</v>
      </c>
    </row>
    <row r="515" spans="2:8" x14ac:dyDescent="0.25">
      <c r="B515" s="89" t="s">
        <v>80</v>
      </c>
      <c r="C515" s="89" t="s">
        <v>81</v>
      </c>
      <c r="D515" s="89" t="s">
        <v>35</v>
      </c>
      <c r="E515" s="89" t="s">
        <v>347</v>
      </c>
      <c r="F515" s="89" t="s">
        <v>843</v>
      </c>
      <c r="G515" s="89" t="s">
        <v>1597</v>
      </c>
      <c r="H515" s="93" t="s">
        <v>1598</v>
      </c>
    </row>
    <row r="516" spans="2:8" x14ac:dyDescent="0.25">
      <c r="B516" s="89" t="s">
        <v>80</v>
      </c>
      <c r="C516" s="89" t="s">
        <v>81</v>
      </c>
      <c r="D516" s="89" t="s">
        <v>35</v>
      </c>
      <c r="E516" s="89" t="s">
        <v>347</v>
      </c>
      <c r="F516" s="89" t="s">
        <v>843</v>
      </c>
      <c r="G516" s="89" t="s">
        <v>476</v>
      </c>
      <c r="H516" s="93" t="s">
        <v>477</v>
      </c>
    </row>
    <row r="517" spans="2:8" x14ac:dyDescent="0.25">
      <c r="B517" s="89" t="s">
        <v>80</v>
      </c>
      <c r="C517" s="89" t="s">
        <v>81</v>
      </c>
      <c r="D517" s="89" t="s">
        <v>35</v>
      </c>
      <c r="E517" s="89" t="s">
        <v>347</v>
      </c>
      <c r="F517" s="89" t="s">
        <v>843</v>
      </c>
      <c r="G517" s="89" t="s">
        <v>1599</v>
      </c>
      <c r="H517" s="93" t="s">
        <v>465</v>
      </c>
    </row>
    <row r="518" spans="2:8" x14ac:dyDescent="0.25">
      <c r="B518" s="89" t="s">
        <v>80</v>
      </c>
      <c r="C518" s="89" t="s">
        <v>81</v>
      </c>
      <c r="D518" s="89" t="s">
        <v>35</v>
      </c>
      <c r="E518" s="89" t="s">
        <v>347</v>
      </c>
      <c r="F518" s="89" t="s">
        <v>843</v>
      </c>
      <c r="G518" s="89" t="s">
        <v>1600</v>
      </c>
      <c r="H518" s="93" t="s">
        <v>1601</v>
      </c>
    </row>
    <row r="519" spans="2:8" x14ac:dyDescent="0.25">
      <c r="B519" s="89" t="s">
        <v>80</v>
      </c>
      <c r="C519" s="89" t="s">
        <v>81</v>
      </c>
      <c r="D519" s="89" t="s">
        <v>35</v>
      </c>
      <c r="E519" s="89" t="s">
        <v>347</v>
      </c>
      <c r="F519" s="89" t="s">
        <v>843</v>
      </c>
      <c r="G519" s="89" t="s">
        <v>1602</v>
      </c>
      <c r="H519" s="93" t="s">
        <v>1603</v>
      </c>
    </row>
    <row r="520" spans="2:8" x14ac:dyDescent="0.25">
      <c r="B520" s="89" t="s">
        <v>80</v>
      </c>
      <c r="C520" s="89" t="s">
        <v>81</v>
      </c>
      <c r="D520" s="89" t="s">
        <v>35</v>
      </c>
      <c r="E520" s="89" t="s">
        <v>347</v>
      </c>
      <c r="F520" s="89" t="s">
        <v>843</v>
      </c>
      <c r="G520" s="89" t="s">
        <v>1604</v>
      </c>
      <c r="H520" s="93" t="s">
        <v>1605</v>
      </c>
    </row>
    <row r="521" spans="2:8" x14ac:dyDescent="0.25">
      <c r="B521" s="89" t="s">
        <v>80</v>
      </c>
      <c r="C521" s="89" t="s">
        <v>81</v>
      </c>
      <c r="D521" s="89" t="s">
        <v>35</v>
      </c>
      <c r="E521" s="89" t="s">
        <v>347</v>
      </c>
      <c r="F521" s="89" t="s">
        <v>843</v>
      </c>
      <c r="G521" s="89" t="s">
        <v>1606</v>
      </c>
      <c r="H521" s="93" t="s">
        <v>1607</v>
      </c>
    </row>
    <row r="522" spans="2:8" x14ac:dyDescent="0.25">
      <c r="B522" s="89" t="s">
        <v>80</v>
      </c>
      <c r="C522" s="89" t="s">
        <v>81</v>
      </c>
      <c r="D522" s="89" t="s">
        <v>35</v>
      </c>
      <c r="E522" s="89" t="s">
        <v>347</v>
      </c>
      <c r="F522" s="89" t="s">
        <v>843</v>
      </c>
      <c r="G522" s="89" t="s">
        <v>1608</v>
      </c>
      <c r="H522" s="93" t="s">
        <v>1609</v>
      </c>
    </row>
    <row r="523" spans="2:8" x14ac:dyDescent="0.25">
      <c r="B523" s="89" t="s">
        <v>80</v>
      </c>
      <c r="C523" s="89" t="s">
        <v>81</v>
      </c>
      <c r="D523" s="89" t="s">
        <v>35</v>
      </c>
      <c r="E523" s="89" t="s">
        <v>347</v>
      </c>
      <c r="F523" s="89" t="s">
        <v>843</v>
      </c>
      <c r="G523" s="89" t="s">
        <v>462</v>
      </c>
      <c r="H523" s="93" t="s">
        <v>463</v>
      </c>
    </row>
    <row r="524" spans="2:8" x14ac:dyDescent="0.25">
      <c r="B524" s="89" t="s">
        <v>80</v>
      </c>
      <c r="C524" s="89" t="s">
        <v>81</v>
      </c>
      <c r="D524" s="89" t="s">
        <v>35</v>
      </c>
      <c r="E524" s="89" t="s">
        <v>347</v>
      </c>
      <c r="F524" s="89" t="s">
        <v>843</v>
      </c>
      <c r="G524" s="89" t="s">
        <v>1610</v>
      </c>
      <c r="H524" s="93" t="s">
        <v>529</v>
      </c>
    </row>
    <row r="525" spans="2:8" x14ac:dyDescent="0.25">
      <c r="B525" s="89" t="s">
        <v>80</v>
      </c>
      <c r="C525" s="89" t="s">
        <v>81</v>
      </c>
      <c r="D525" s="89" t="s">
        <v>35</v>
      </c>
      <c r="E525" s="89" t="s">
        <v>347</v>
      </c>
      <c r="F525" s="89" t="s">
        <v>843</v>
      </c>
      <c r="G525" s="89" t="s">
        <v>1611</v>
      </c>
      <c r="H525" s="93" t="s">
        <v>495</v>
      </c>
    </row>
    <row r="526" spans="2:8" x14ac:dyDescent="0.25">
      <c r="B526" s="89" t="s">
        <v>80</v>
      </c>
      <c r="C526" s="89" t="s">
        <v>81</v>
      </c>
      <c r="D526" s="89" t="s">
        <v>35</v>
      </c>
      <c r="E526" s="89" t="s">
        <v>347</v>
      </c>
      <c r="F526" s="89" t="s">
        <v>843</v>
      </c>
      <c r="G526" s="89" t="s">
        <v>1612</v>
      </c>
      <c r="H526" s="93" t="s">
        <v>1613</v>
      </c>
    </row>
    <row r="527" spans="2:8" x14ac:dyDescent="0.25">
      <c r="B527" s="89" t="s">
        <v>80</v>
      </c>
      <c r="C527" s="89" t="s">
        <v>81</v>
      </c>
      <c r="D527" s="89" t="s">
        <v>35</v>
      </c>
      <c r="E527" s="89" t="s">
        <v>347</v>
      </c>
      <c r="F527" s="89" t="s">
        <v>843</v>
      </c>
      <c r="G527" s="89" t="s">
        <v>1614</v>
      </c>
      <c r="H527" s="93" t="s">
        <v>1615</v>
      </c>
    </row>
    <row r="528" spans="2:8" x14ac:dyDescent="0.25">
      <c r="B528" s="89" t="s">
        <v>80</v>
      </c>
      <c r="C528" s="89" t="s">
        <v>81</v>
      </c>
      <c r="D528" s="89" t="s">
        <v>35</v>
      </c>
      <c r="E528" s="89" t="s">
        <v>347</v>
      </c>
      <c r="F528" s="89" t="s">
        <v>844</v>
      </c>
      <c r="G528" s="89" t="s">
        <v>1616</v>
      </c>
      <c r="H528" s="93" t="s">
        <v>1617</v>
      </c>
    </row>
    <row r="529" spans="2:8" x14ac:dyDescent="0.25">
      <c r="B529" s="89" t="s">
        <v>80</v>
      </c>
      <c r="C529" s="89" t="s">
        <v>81</v>
      </c>
      <c r="D529" s="89" t="s">
        <v>35</v>
      </c>
      <c r="E529" s="89" t="s">
        <v>347</v>
      </c>
      <c r="F529" s="89" t="s">
        <v>844</v>
      </c>
      <c r="G529" s="89" t="s">
        <v>1618</v>
      </c>
      <c r="H529" s="93" t="s">
        <v>1619</v>
      </c>
    </row>
    <row r="530" spans="2:8" x14ac:dyDescent="0.25">
      <c r="B530" s="89" t="s">
        <v>80</v>
      </c>
      <c r="C530" s="89" t="s">
        <v>81</v>
      </c>
      <c r="D530" s="89" t="s">
        <v>35</v>
      </c>
      <c r="E530" s="89" t="s">
        <v>347</v>
      </c>
      <c r="F530" s="89" t="s">
        <v>844</v>
      </c>
      <c r="G530" s="89" t="s">
        <v>1620</v>
      </c>
      <c r="H530" s="93" t="s">
        <v>1621</v>
      </c>
    </row>
    <row r="531" spans="2:8" x14ac:dyDescent="0.25">
      <c r="B531" s="89" t="s">
        <v>80</v>
      </c>
      <c r="C531" s="89" t="s">
        <v>81</v>
      </c>
      <c r="D531" s="89" t="s">
        <v>35</v>
      </c>
      <c r="E531" s="89" t="s">
        <v>347</v>
      </c>
      <c r="F531" s="89" t="s">
        <v>844</v>
      </c>
      <c r="G531" s="89" t="s">
        <v>1622</v>
      </c>
      <c r="H531" s="93" t="s">
        <v>1623</v>
      </c>
    </row>
    <row r="532" spans="2:8" x14ac:dyDescent="0.25">
      <c r="B532" s="89" t="s">
        <v>80</v>
      </c>
      <c r="C532" s="89" t="s">
        <v>81</v>
      </c>
      <c r="D532" s="89" t="s">
        <v>35</v>
      </c>
      <c r="E532" s="89" t="s">
        <v>347</v>
      </c>
      <c r="F532" s="89" t="s">
        <v>844</v>
      </c>
      <c r="G532" s="89" t="s">
        <v>1624</v>
      </c>
      <c r="H532" s="93" t="s">
        <v>1625</v>
      </c>
    </row>
    <row r="533" spans="2:8" x14ac:dyDescent="0.25">
      <c r="B533" s="89" t="s">
        <v>80</v>
      </c>
      <c r="C533" s="89" t="s">
        <v>81</v>
      </c>
      <c r="D533" s="89" t="s">
        <v>35</v>
      </c>
      <c r="E533" s="89" t="s">
        <v>347</v>
      </c>
      <c r="F533" s="89" t="s">
        <v>844</v>
      </c>
      <c r="G533" s="89" t="s">
        <v>1626</v>
      </c>
      <c r="H533" s="93" t="s">
        <v>1627</v>
      </c>
    </row>
    <row r="534" spans="2:8" x14ac:dyDescent="0.25">
      <c r="B534" s="89" t="s">
        <v>80</v>
      </c>
      <c r="C534" s="89" t="s">
        <v>81</v>
      </c>
      <c r="D534" s="89" t="s">
        <v>35</v>
      </c>
      <c r="E534" s="89" t="s">
        <v>347</v>
      </c>
      <c r="F534" s="89" t="s">
        <v>844</v>
      </c>
      <c r="G534" s="89" t="s">
        <v>1628</v>
      </c>
      <c r="H534" s="93" t="s">
        <v>1629</v>
      </c>
    </row>
    <row r="535" spans="2:8" x14ac:dyDescent="0.25">
      <c r="B535" s="89" t="s">
        <v>80</v>
      </c>
      <c r="C535" s="89" t="s">
        <v>81</v>
      </c>
      <c r="D535" s="89" t="s">
        <v>35</v>
      </c>
      <c r="E535" s="89" t="s">
        <v>347</v>
      </c>
      <c r="F535" s="89" t="s">
        <v>844</v>
      </c>
      <c r="G535" s="89" t="s">
        <v>1630</v>
      </c>
      <c r="H535" s="93" t="s">
        <v>1631</v>
      </c>
    </row>
    <row r="536" spans="2:8" x14ac:dyDescent="0.25">
      <c r="B536" s="89" t="s">
        <v>80</v>
      </c>
      <c r="C536" s="89" t="s">
        <v>81</v>
      </c>
      <c r="D536" s="89" t="s">
        <v>35</v>
      </c>
      <c r="E536" s="89" t="s">
        <v>347</v>
      </c>
      <c r="F536" s="89" t="s">
        <v>844</v>
      </c>
      <c r="G536" s="89" t="s">
        <v>1632</v>
      </c>
      <c r="H536" s="93" t="s">
        <v>1633</v>
      </c>
    </row>
    <row r="537" spans="2:8" x14ac:dyDescent="0.25">
      <c r="B537" s="89" t="s">
        <v>80</v>
      </c>
      <c r="C537" s="89" t="s">
        <v>81</v>
      </c>
      <c r="D537" s="89" t="s">
        <v>35</v>
      </c>
      <c r="E537" s="89" t="s">
        <v>845</v>
      </c>
      <c r="F537" s="89" t="s">
        <v>846</v>
      </c>
      <c r="G537" s="89" t="s">
        <v>1634</v>
      </c>
      <c r="H537" s="93" t="s">
        <v>1635</v>
      </c>
    </row>
    <row r="538" spans="2:8" x14ac:dyDescent="0.25">
      <c r="B538" s="89" t="s">
        <v>80</v>
      </c>
      <c r="C538" s="89" t="s">
        <v>81</v>
      </c>
      <c r="D538" s="89" t="s">
        <v>35</v>
      </c>
      <c r="E538" s="89" t="s">
        <v>845</v>
      </c>
      <c r="F538" s="89" t="s">
        <v>846</v>
      </c>
      <c r="G538" s="89" t="s">
        <v>1636</v>
      </c>
      <c r="H538" s="93" t="s">
        <v>1637</v>
      </c>
    </row>
    <row r="539" spans="2:8" x14ac:dyDescent="0.25">
      <c r="B539" s="89" t="s">
        <v>80</v>
      </c>
      <c r="C539" s="89" t="s">
        <v>81</v>
      </c>
      <c r="D539" s="89" t="s">
        <v>35</v>
      </c>
      <c r="E539" s="89" t="s">
        <v>845</v>
      </c>
      <c r="F539" s="89" t="s">
        <v>846</v>
      </c>
      <c r="G539" s="89" t="s">
        <v>1638</v>
      </c>
      <c r="H539" s="93" t="s">
        <v>1639</v>
      </c>
    </row>
    <row r="540" spans="2:8" x14ac:dyDescent="0.25">
      <c r="B540" s="89" t="s">
        <v>80</v>
      </c>
      <c r="C540" s="89" t="s">
        <v>81</v>
      </c>
      <c r="D540" s="89" t="s">
        <v>35</v>
      </c>
      <c r="E540" s="89" t="s">
        <v>845</v>
      </c>
      <c r="F540" s="89" t="s">
        <v>846</v>
      </c>
      <c r="G540" s="89" t="s">
        <v>1640</v>
      </c>
      <c r="H540" s="93" t="s">
        <v>1641</v>
      </c>
    </row>
    <row r="541" spans="2:8" x14ac:dyDescent="0.25">
      <c r="B541" s="89" t="s">
        <v>80</v>
      </c>
      <c r="C541" s="89" t="s">
        <v>81</v>
      </c>
      <c r="D541" s="89" t="s">
        <v>35</v>
      </c>
      <c r="E541" s="89" t="s">
        <v>845</v>
      </c>
      <c r="F541" s="89" t="s">
        <v>847</v>
      </c>
      <c r="G541" s="89" t="s">
        <v>1642</v>
      </c>
      <c r="H541" s="93" t="s">
        <v>1643</v>
      </c>
    </row>
    <row r="542" spans="2:8" x14ac:dyDescent="0.25">
      <c r="B542" s="89" t="s">
        <v>80</v>
      </c>
      <c r="C542" s="89" t="s">
        <v>81</v>
      </c>
      <c r="D542" s="89" t="s">
        <v>35</v>
      </c>
      <c r="E542" s="89" t="s">
        <v>845</v>
      </c>
      <c r="F542" s="89" t="s">
        <v>847</v>
      </c>
      <c r="G542" s="89" t="s">
        <v>1644</v>
      </c>
      <c r="H542" s="93" t="s">
        <v>1645</v>
      </c>
    </row>
    <row r="543" spans="2:8" x14ac:dyDescent="0.25">
      <c r="B543" s="89" t="s">
        <v>80</v>
      </c>
      <c r="C543" s="89" t="s">
        <v>81</v>
      </c>
      <c r="D543" s="89" t="s">
        <v>35</v>
      </c>
      <c r="E543" s="89" t="s">
        <v>845</v>
      </c>
      <c r="F543" s="89" t="s">
        <v>847</v>
      </c>
      <c r="G543" s="89" t="s">
        <v>1646</v>
      </c>
      <c r="H543" s="93" t="s">
        <v>1647</v>
      </c>
    </row>
    <row r="544" spans="2:8" x14ac:dyDescent="0.25">
      <c r="B544" s="89" t="s">
        <v>80</v>
      </c>
      <c r="C544" s="89" t="s">
        <v>81</v>
      </c>
      <c r="D544" s="89" t="s">
        <v>35</v>
      </c>
      <c r="E544" s="89" t="s">
        <v>845</v>
      </c>
      <c r="F544" s="89" t="s">
        <v>847</v>
      </c>
      <c r="G544" s="89" t="s">
        <v>1648</v>
      </c>
      <c r="H544" s="93" t="s">
        <v>1649</v>
      </c>
    </row>
    <row r="545" spans="2:8" x14ac:dyDescent="0.25">
      <c r="B545" s="89" t="s">
        <v>80</v>
      </c>
      <c r="C545" s="89" t="s">
        <v>81</v>
      </c>
      <c r="D545" s="89" t="s">
        <v>35</v>
      </c>
      <c r="E545" s="89" t="s">
        <v>532</v>
      </c>
      <c r="F545" s="89" t="s">
        <v>848</v>
      </c>
      <c r="G545" s="89" t="s">
        <v>1650</v>
      </c>
      <c r="H545" s="93" t="s">
        <v>1651</v>
      </c>
    </row>
    <row r="546" spans="2:8" x14ac:dyDescent="0.25">
      <c r="B546" s="89" t="s">
        <v>80</v>
      </c>
      <c r="C546" s="89" t="s">
        <v>81</v>
      </c>
      <c r="D546" s="89" t="s">
        <v>35</v>
      </c>
      <c r="E546" s="89" t="s">
        <v>532</v>
      </c>
      <c r="F546" s="89" t="s">
        <v>848</v>
      </c>
      <c r="G546" s="89" t="s">
        <v>1652</v>
      </c>
      <c r="H546" s="93" t="s">
        <v>548</v>
      </c>
    </row>
    <row r="547" spans="2:8" x14ac:dyDescent="0.25">
      <c r="B547" s="89" t="s">
        <v>80</v>
      </c>
      <c r="C547" s="89" t="s">
        <v>81</v>
      </c>
      <c r="D547" s="89" t="s">
        <v>35</v>
      </c>
      <c r="E547" s="89" t="s">
        <v>532</v>
      </c>
      <c r="F547" s="89" t="s">
        <v>848</v>
      </c>
      <c r="G547" s="89" t="s">
        <v>1653</v>
      </c>
      <c r="H547" s="93" t="s">
        <v>1654</v>
      </c>
    </row>
    <row r="548" spans="2:8" x14ac:dyDescent="0.25">
      <c r="B548" s="89" t="s">
        <v>80</v>
      </c>
      <c r="C548" s="89" t="s">
        <v>81</v>
      </c>
      <c r="D548" s="89" t="s">
        <v>35</v>
      </c>
      <c r="E548" s="89" t="s">
        <v>532</v>
      </c>
      <c r="F548" s="89" t="s">
        <v>848</v>
      </c>
      <c r="G548" s="89" t="s">
        <v>848</v>
      </c>
      <c r="H548" s="93" t="s">
        <v>1655</v>
      </c>
    </row>
    <row r="549" spans="2:8" x14ac:dyDescent="0.25">
      <c r="B549" s="89" t="s">
        <v>80</v>
      </c>
      <c r="C549" s="89" t="s">
        <v>81</v>
      </c>
      <c r="D549" s="89" t="s">
        <v>35</v>
      </c>
      <c r="E549" s="89" t="s">
        <v>532</v>
      </c>
      <c r="F549" s="89" t="s">
        <v>848</v>
      </c>
      <c r="G549" s="89" t="s">
        <v>1656</v>
      </c>
      <c r="H549" s="93" t="s">
        <v>1657</v>
      </c>
    </row>
    <row r="550" spans="2:8" x14ac:dyDescent="0.25">
      <c r="B550" s="89" t="s">
        <v>80</v>
      </c>
      <c r="C550" s="89" t="s">
        <v>81</v>
      </c>
      <c r="D550" s="89" t="s">
        <v>35</v>
      </c>
      <c r="E550" s="89" t="s">
        <v>532</v>
      </c>
      <c r="F550" s="89" t="s">
        <v>848</v>
      </c>
      <c r="G550" s="89" t="s">
        <v>1658</v>
      </c>
      <c r="H550" s="93" t="s">
        <v>534</v>
      </c>
    </row>
    <row r="551" spans="2:8" x14ac:dyDescent="0.25">
      <c r="B551" s="89" t="s">
        <v>80</v>
      </c>
      <c r="C551" s="89" t="s">
        <v>81</v>
      </c>
      <c r="D551" s="89" t="s">
        <v>35</v>
      </c>
      <c r="E551" s="89" t="s">
        <v>532</v>
      </c>
      <c r="F551" s="89" t="s">
        <v>848</v>
      </c>
      <c r="G551" s="89" t="s">
        <v>1659</v>
      </c>
      <c r="H551" s="93" t="s">
        <v>564</v>
      </c>
    </row>
    <row r="552" spans="2:8" x14ac:dyDescent="0.25">
      <c r="B552" s="89" t="s">
        <v>80</v>
      </c>
      <c r="C552" s="89" t="s">
        <v>81</v>
      </c>
      <c r="D552" s="89" t="s">
        <v>35</v>
      </c>
      <c r="E552" s="89" t="s">
        <v>532</v>
      </c>
      <c r="F552" s="89" t="s">
        <v>848</v>
      </c>
      <c r="G552" s="89" t="s">
        <v>1660</v>
      </c>
      <c r="H552" s="93" t="s">
        <v>1661</v>
      </c>
    </row>
    <row r="553" spans="2:8" x14ac:dyDescent="0.25">
      <c r="B553" s="89" t="s">
        <v>80</v>
      </c>
      <c r="C553" s="89" t="s">
        <v>81</v>
      </c>
      <c r="D553" s="89" t="s">
        <v>35</v>
      </c>
      <c r="E553" s="89" t="s">
        <v>532</v>
      </c>
      <c r="F553" s="89" t="s">
        <v>848</v>
      </c>
      <c r="G553" s="89" t="s">
        <v>545</v>
      </c>
      <c r="H553" s="93" t="s">
        <v>546</v>
      </c>
    </row>
    <row r="554" spans="2:8" x14ac:dyDescent="0.25">
      <c r="B554" s="89" t="s">
        <v>80</v>
      </c>
      <c r="C554" s="89" t="s">
        <v>81</v>
      </c>
      <c r="D554" s="89" t="s">
        <v>35</v>
      </c>
      <c r="E554" s="89" t="s">
        <v>532</v>
      </c>
      <c r="F554" s="89" t="s">
        <v>848</v>
      </c>
      <c r="G554" s="89" t="s">
        <v>1662</v>
      </c>
      <c r="H554" s="93" t="s">
        <v>1663</v>
      </c>
    </row>
    <row r="555" spans="2:8" x14ac:dyDescent="0.25">
      <c r="B555" s="89" t="s">
        <v>80</v>
      </c>
      <c r="C555" s="89" t="s">
        <v>81</v>
      </c>
      <c r="D555" s="89" t="s">
        <v>35</v>
      </c>
      <c r="E555" s="89" t="s">
        <v>532</v>
      </c>
      <c r="F555" s="89" t="s">
        <v>848</v>
      </c>
      <c r="G555" s="89" t="s">
        <v>543</v>
      </c>
      <c r="H555" s="93" t="s">
        <v>544</v>
      </c>
    </row>
    <row r="556" spans="2:8" x14ac:dyDescent="0.25">
      <c r="B556" s="89" t="s">
        <v>80</v>
      </c>
      <c r="C556" s="89" t="s">
        <v>81</v>
      </c>
      <c r="D556" s="89" t="s">
        <v>35</v>
      </c>
      <c r="E556" s="89" t="s">
        <v>532</v>
      </c>
      <c r="F556" s="89" t="s">
        <v>848</v>
      </c>
      <c r="G556" s="89" t="s">
        <v>1664</v>
      </c>
      <c r="H556" s="93" t="s">
        <v>1665</v>
      </c>
    </row>
    <row r="557" spans="2:8" x14ac:dyDescent="0.25">
      <c r="B557" s="89" t="s">
        <v>80</v>
      </c>
      <c r="C557" s="89" t="s">
        <v>81</v>
      </c>
      <c r="D557" s="89" t="s">
        <v>35</v>
      </c>
      <c r="E557" s="89" t="s">
        <v>532</v>
      </c>
      <c r="F557" s="89" t="s">
        <v>848</v>
      </c>
      <c r="G557" s="89" t="s">
        <v>1666</v>
      </c>
      <c r="H557" s="93" t="s">
        <v>1667</v>
      </c>
    </row>
    <row r="558" spans="2:8" x14ac:dyDescent="0.25">
      <c r="B558" s="89" t="s">
        <v>80</v>
      </c>
      <c r="C558" s="89" t="s">
        <v>81</v>
      </c>
      <c r="D558" s="89" t="s">
        <v>35</v>
      </c>
      <c r="E558" s="89" t="s">
        <v>532</v>
      </c>
      <c r="F558" s="89" t="s">
        <v>848</v>
      </c>
      <c r="G558" s="89" t="s">
        <v>1668</v>
      </c>
      <c r="H558" s="93" t="s">
        <v>1669</v>
      </c>
    </row>
    <row r="559" spans="2:8" x14ac:dyDescent="0.25">
      <c r="B559" s="89" t="s">
        <v>80</v>
      </c>
      <c r="C559" s="89" t="s">
        <v>81</v>
      </c>
      <c r="D559" s="89" t="s">
        <v>35</v>
      </c>
      <c r="E559" s="89" t="s">
        <v>532</v>
      </c>
      <c r="F559" s="89" t="s">
        <v>848</v>
      </c>
      <c r="G559" s="89" t="s">
        <v>1670</v>
      </c>
      <c r="H559" s="93" t="s">
        <v>1671</v>
      </c>
    </row>
    <row r="560" spans="2:8" x14ac:dyDescent="0.25">
      <c r="B560" s="89" t="s">
        <v>80</v>
      </c>
      <c r="C560" s="89" t="s">
        <v>81</v>
      </c>
      <c r="D560" s="89" t="s">
        <v>35</v>
      </c>
      <c r="E560" s="89" t="s">
        <v>532</v>
      </c>
      <c r="F560" s="89" t="s">
        <v>848</v>
      </c>
      <c r="G560" s="89" t="s">
        <v>1672</v>
      </c>
      <c r="H560" s="93" t="s">
        <v>1673</v>
      </c>
    </row>
    <row r="561" spans="2:8" x14ac:dyDescent="0.25">
      <c r="B561" s="89" t="s">
        <v>80</v>
      </c>
      <c r="C561" s="89" t="s">
        <v>81</v>
      </c>
      <c r="D561" s="89" t="s">
        <v>35</v>
      </c>
      <c r="E561" s="89" t="s">
        <v>532</v>
      </c>
      <c r="F561" s="89" t="s">
        <v>848</v>
      </c>
      <c r="G561" s="89" t="s">
        <v>1674</v>
      </c>
      <c r="H561" s="93" t="s">
        <v>1675</v>
      </c>
    </row>
    <row r="562" spans="2:8" x14ac:dyDescent="0.25">
      <c r="B562" s="89" t="s">
        <v>80</v>
      </c>
      <c r="C562" s="89" t="s">
        <v>81</v>
      </c>
      <c r="D562" s="89" t="s">
        <v>35</v>
      </c>
      <c r="E562" s="89" t="s">
        <v>532</v>
      </c>
      <c r="F562" s="89" t="s">
        <v>848</v>
      </c>
      <c r="G562" s="89" t="s">
        <v>1676</v>
      </c>
      <c r="H562" s="93" t="s">
        <v>1677</v>
      </c>
    </row>
    <row r="563" spans="2:8" x14ac:dyDescent="0.25">
      <c r="B563" s="89" t="s">
        <v>80</v>
      </c>
      <c r="C563" s="89" t="s">
        <v>81</v>
      </c>
      <c r="D563" s="89" t="s">
        <v>35</v>
      </c>
      <c r="E563" s="89" t="s">
        <v>532</v>
      </c>
      <c r="F563" s="89" t="s">
        <v>848</v>
      </c>
      <c r="G563" s="89" t="s">
        <v>1678</v>
      </c>
      <c r="H563" s="93" t="s">
        <v>1679</v>
      </c>
    </row>
    <row r="564" spans="2:8" x14ac:dyDescent="0.25">
      <c r="B564" s="89" t="s">
        <v>80</v>
      </c>
      <c r="C564" s="89" t="s">
        <v>81</v>
      </c>
      <c r="D564" s="89" t="s">
        <v>35</v>
      </c>
      <c r="E564" s="89" t="s">
        <v>532</v>
      </c>
      <c r="F564" s="89" t="s">
        <v>848</v>
      </c>
      <c r="G564" s="89" t="s">
        <v>1680</v>
      </c>
      <c r="H564" s="93" t="s">
        <v>1681</v>
      </c>
    </row>
    <row r="565" spans="2:8" x14ac:dyDescent="0.25">
      <c r="B565" s="89" t="s">
        <v>80</v>
      </c>
      <c r="C565" s="89" t="s">
        <v>81</v>
      </c>
      <c r="D565" s="89" t="s">
        <v>35</v>
      </c>
      <c r="E565" s="89" t="s">
        <v>532</v>
      </c>
      <c r="F565" s="89" t="s">
        <v>848</v>
      </c>
      <c r="G565" s="89" t="s">
        <v>1682</v>
      </c>
      <c r="H565" s="93" t="s">
        <v>1683</v>
      </c>
    </row>
    <row r="566" spans="2:8" x14ac:dyDescent="0.25">
      <c r="B566" s="89" t="s">
        <v>80</v>
      </c>
      <c r="C566" s="89" t="s">
        <v>81</v>
      </c>
      <c r="D566" s="89" t="s">
        <v>35</v>
      </c>
      <c r="E566" s="89" t="s">
        <v>532</v>
      </c>
      <c r="F566" s="89" t="s">
        <v>848</v>
      </c>
      <c r="G566" s="89" t="s">
        <v>1684</v>
      </c>
      <c r="H566" s="93" t="s">
        <v>1685</v>
      </c>
    </row>
    <row r="567" spans="2:8" x14ac:dyDescent="0.25">
      <c r="B567" s="89" t="s">
        <v>80</v>
      </c>
      <c r="C567" s="89" t="s">
        <v>81</v>
      </c>
      <c r="D567" s="89" t="s">
        <v>35</v>
      </c>
      <c r="E567" s="89" t="s">
        <v>532</v>
      </c>
      <c r="F567" s="89" t="s">
        <v>848</v>
      </c>
      <c r="G567" s="89" t="s">
        <v>1686</v>
      </c>
      <c r="H567" s="93" t="s">
        <v>1687</v>
      </c>
    </row>
    <row r="568" spans="2:8" x14ac:dyDescent="0.25">
      <c r="B568" s="89" t="s">
        <v>80</v>
      </c>
      <c r="C568" s="89" t="s">
        <v>81</v>
      </c>
      <c r="D568" s="89" t="s">
        <v>35</v>
      </c>
      <c r="E568" s="89" t="s">
        <v>532</v>
      </c>
      <c r="F568" s="89" t="s">
        <v>848</v>
      </c>
      <c r="G568" s="89" t="s">
        <v>1688</v>
      </c>
      <c r="H568" s="93" t="s">
        <v>1689</v>
      </c>
    </row>
    <row r="569" spans="2:8" x14ac:dyDescent="0.25">
      <c r="B569" s="89" t="s">
        <v>80</v>
      </c>
      <c r="C569" s="89" t="s">
        <v>81</v>
      </c>
      <c r="D569" s="89" t="s">
        <v>35</v>
      </c>
      <c r="E569" s="89" t="s">
        <v>532</v>
      </c>
      <c r="F569" s="89" t="s">
        <v>848</v>
      </c>
      <c r="G569" s="89" t="s">
        <v>1690</v>
      </c>
      <c r="H569" s="93" t="s">
        <v>1691</v>
      </c>
    </row>
    <row r="570" spans="2:8" x14ac:dyDescent="0.25">
      <c r="B570" s="89" t="s">
        <v>80</v>
      </c>
      <c r="C570" s="89" t="s">
        <v>81</v>
      </c>
      <c r="D570" s="89" t="s">
        <v>35</v>
      </c>
      <c r="E570" s="89" t="s">
        <v>532</v>
      </c>
      <c r="F570" s="89" t="s">
        <v>848</v>
      </c>
      <c r="G570" s="89" t="s">
        <v>1692</v>
      </c>
      <c r="H570" s="93" t="s">
        <v>1693</v>
      </c>
    </row>
    <row r="571" spans="2:8" x14ac:dyDescent="0.25">
      <c r="B571" s="89" t="s">
        <v>80</v>
      </c>
      <c r="C571" s="89" t="s">
        <v>81</v>
      </c>
      <c r="D571" s="89" t="s">
        <v>35</v>
      </c>
      <c r="E571" s="89" t="s">
        <v>532</v>
      </c>
      <c r="F571" s="89" t="s">
        <v>848</v>
      </c>
      <c r="G571" s="89" t="s">
        <v>1694</v>
      </c>
      <c r="H571" s="93" t="s">
        <v>1695</v>
      </c>
    </row>
    <row r="572" spans="2:8" x14ac:dyDescent="0.25">
      <c r="B572" s="89" t="s">
        <v>80</v>
      </c>
      <c r="C572" s="89" t="s">
        <v>81</v>
      </c>
      <c r="D572" s="89" t="s">
        <v>35</v>
      </c>
      <c r="E572" s="89" t="s">
        <v>532</v>
      </c>
      <c r="F572" s="89" t="s">
        <v>848</v>
      </c>
      <c r="G572" s="89" t="s">
        <v>1696</v>
      </c>
      <c r="H572" s="93" t="s">
        <v>1697</v>
      </c>
    </row>
    <row r="573" spans="2:8" x14ac:dyDescent="0.25">
      <c r="B573" s="89" t="s">
        <v>80</v>
      </c>
      <c r="C573" s="89" t="s">
        <v>81</v>
      </c>
      <c r="D573" s="89" t="s">
        <v>35</v>
      </c>
      <c r="E573" s="89" t="s">
        <v>532</v>
      </c>
      <c r="F573" s="89" t="s">
        <v>848</v>
      </c>
      <c r="G573" s="89" t="s">
        <v>1698</v>
      </c>
      <c r="H573" s="93" t="s">
        <v>1699</v>
      </c>
    </row>
    <row r="574" spans="2:8" x14ac:dyDescent="0.25">
      <c r="B574" s="89" t="s">
        <v>80</v>
      </c>
      <c r="C574" s="89" t="s">
        <v>81</v>
      </c>
      <c r="D574" s="89" t="s">
        <v>35</v>
      </c>
      <c r="E574" s="89" t="s">
        <v>532</v>
      </c>
      <c r="F574" s="89" t="s">
        <v>848</v>
      </c>
      <c r="G574" s="89" t="s">
        <v>1700</v>
      </c>
      <c r="H574" s="93" t="s">
        <v>1701</v>
      </c>
    </row>
    <row r="575" spans="2:8" x14ac:dyDescent="0.25">
      <c r="B575" s="89" t="s">
        <v>80</v>
      </c>
      <c r="C575" s="89" t="s">
        <v>81</v>
      </c>
      <c r="D575" s="89" t="s">
        <v>35</v>
      </c>
      <c r="E575" s="89" t="s">
        <v>532</v>
      </c>
      <c r="F575" s="89" t="s">
        <v>848</v>
      </c>
      <c r="G575" s="89" t="s">
        <v>1702</v>
      </c>
      <c r="H575" s="93" t="s">
        <v>540</v>
      </c>
    </row>
    <row r="576" spans="2:8" x14ac:dyDescent="0.25">
      <c r="B576" s="89" t="s">
        <v>80</v>
      </c>
      <c r="C576" s="89" t="s">
        <v>81</v>
      </c>
      <c r="D576" s="89" t="s">
        <v>35</v>
      </c>
      <c r="E576" s="89" t="s">
        <v>532</v>
      </c>
      <c r="F576" s="89" t="s">
        <v>848</v>
      </c>
      <c r="G576" s="89" t="s">
        <v>1703</v>
      </c>
      <c r="H576" s="93" t="s">
        <v>542</v>
      </c>
    </row>
    <row r="577" spans="2:8" x14ac:dyDescent="0.25">
      <c r="B577" s="89" t="s">
        <v>80</v>
      </c>
      <c r="C577" s="89" t="s">
        <v>81</v>
      </c>
      <c r="D577" s="89" t="s">
        <v>35</v>
      </c>
      <c r="E577" s="89" t="s">
        <v>532</v>
      </c>
      <c r="F577" s="89" t="s">
        <v>848</v>
      </c>
      <c r="G577" s="89" t="s">
        <v>1704</v>
      </c>
      <c r="H577" s="93" t="s">
        <v>1705</v>
      </c>
    </row>
    <row r="578" spans="2:8" x14ac:dyDescent="0.25">
      <c r="B578" s="89" t="s">
        <v>80</v>
      </c>
      <c r="C578" s="89" t="s">
        <v>81</v>
      </c>
      <c r="D578" s="89" t="s">
        <v>35</v>
      </c>
      <c r="E578" s="89" t="s">
        <v>532</v>
      </c>
      <c r="F578" s="89" t="s">
        <v>848</v>
      </c>
      <c r="G578" s="89" t="s">
        <v>1706</v>
      </c>
      <c r="H578" s="93" t="s">
        <v>1707</v>
      </c>
    </row>
    <row r="579" spans="2:8" x14ac:dyDescent="0.25">
      <c r="B579" s="89" t="s">
        <v>80</v>
      </c>
      <c r="C579" s="89" t="s">
        <v>81</v>
      </c>
      <c r="D579" s="89" t="s">
        <v>35</v>
      </c>
      <c r="E579" s="89" t="s">
        <v>532</v>
      </c>
      <c r="F579" s="89" t="s">
        <v>848</v>
      </c>
      <c r="G579" s="89" t="s">
        <v>1708</v>
      </c>
      <c r="H579" s="93" t="s">
        <v>1709</v>
      </c>
    </row>
    <row r="580" spans="2:8" x14ac:dyDescent="0.25">
      <c r="B580" s="89" t="s">
        <v>80</v>
      </c>
      <c r="C580" s="89" t="s">
        <v>81</v>
      </c>
      <c r="D580" s="89" t="s">
        <v>35</v>
      </c>
      <c r="E580" s="89" t="s">
        <v>532</v>
      </c>
      <c r="F580" s="89" t="s">
        <v>848</v>
      </c>
      <c r="G580" s="89" t="s">
        <v>1710</v>
      </c>
      <c r="H580" s="93" t="s">
        <v>1711</v>
      </c>
    </row>
    <row r="581" spans="2:8" x14ac:dyDescent="0.25">
      <c r="B581" s="89" t="s">
        <v>80</v>
      </c>
      <c r="C581" s="89" t="s">
        <v>81</v>
      </c>
      <c r="D581" s="89" t="s">
        <v>35</v>
      </c>
      <c r="E581" s="89" t="s">
        <v>532</v>
      </c>
      <c r="F581" s="89" t="s">
        <v>848</v>
      </c>
      <c r="G581" s="89" t="s">
        <v>848</v>
      </c>
      <c r="H581" s="93" t="s">
        <v>1712</v>
      </c>
    </row>
    <row r="582" spans="2:8" x14ac:dyDescent="0.25">
      <c r="B582" s="89" t="s">
        <v>80</v>
      </c>
      <c r="C582" s="89" t="s">
        <v>81</v>
      </c>
      <c r="D582" s="89" t="s">
        <v>35</v>
      </c>
      <c r="E582" s="89" t="s">
        <v>532</v>
      </c>
      <c r="F582" s="89" t="s">
        <v>848</v>
      </c>
      <c r="G582" s="89" t="s">
        <v>848</v>
      </c>
      <c r="H582" s="93" t="s">
        <v>1713</v>
      </c>
    </row>
    <row r="583" spans="2:8" x14ac:dyDescent="0.25">
      <c r="B583" s="89" t="s">
        <v>80</v>
      </c>
      <c r="C583" s="89" t="s">
        <v>81</v>
      </c>
      <c r="D583" s="89" t="s">
        <v>35</v>
      </c>
      <c r="E583" s="89" t="s">
        <v>532</v>
      </c>
      <c r="F583" s="89" t="s">
        <v>848</v>
      </c>
      <c r="G583" s="89" t="s">
        <v>848</v>
      </c>
      <c r="H583" s="93" t="s">
        <v>1714</v>
      </c>
    </row>
    <row r="584" spans="2:8" x14ac:dyDescent="0.25">
      <c r="B584" s="89" t="s">
        <v>80</v>
      </c>
      <c r="C584" s="89" t="s">
        <v>81</v>
      </c>
      <c r="D584" s="89" t="s">
        <v>35</v>
      </c>
      <c r="E584" s="89" t="s">
        <v>532</v>
      </c>
      <c r="F584" s="89" t="s">
        <v>848</v>
      </c>
      <c r="G584" s="89" t="s">
        <v>1715</v>
      </c>
      <c r="H584" s="93" t="s">
        <v>1716</v>
      </c>
    </row>
    <row r="585" spans="2:8" x14ac:dyDescent="0.25">
      <c r="B585" s="89" t="s">
        <v>80</v>
      </c>
      <c r="C585" s="89" t="s">
        <v>81</v>
      </c>
      <c r="D585" s="89" t="s">
        <v>35</v>
      </c>
      <c r="E585" s="89" t="s">
        <v>532</v>
      </c>
      <c r="F585" s="89" t="s">
        <v>848</v>
      </c>
      <c r="G585" s="89" t="s">
        <v>1717</v>
      </c>
      <c r="H585" s="93" t="s">
        <v>1718</v>
      </c>
    </row>
    <row r="586" spans="2:8" x14ac:dyDescent="0.25">
      <c r="B586" s="89" t="s">
        <v>80</v>
      </c>
      <c r="C586" s="89" t="s">
        <v>81</v>
      </c>
      <c r="D586" s="89" t="s">
        <v>35</v>
      </c>
      <c r="E586" s="89" t="s">
        <v>532</v>
      </c>
      <c r="F586" s="89" t="s">
        <v>848</v>
      </c>
      <c r="G586" s="89" t="s">
        <v>1719</v>
      </c>
      <c r="H586" s="93" t="s">
        <v>1720</v>
      </c>
    </row>
    <row r="587" spans="2:8" x14ac:dyDescent="0.25">
      <c r="B587" s="89" t="s">
        <v>80</v>
      </c>
      <c r="C587" s="89" t="s">
        <v>81</v>
      </c>
      <c r="D587" s="89" t="s">
        <v>35</v>
      </c>
      <c r="E587" s="89" t="s">
        <v>532</v>
      </c>
      <c r="F587" s="89" t="s">
        <v>848</v>
      </c>
      <c r="G587" s="89" t="s">
        <v>848</v>
      </c>
      <c r="H587" s="93" t="s">
        <v>1721</v>
      </c>
    </row>
    <row r="588" spans="2:8" x14ac:dyDescent="0.25">
      <c r="B588" s="89" t="s">
        <v>80</v>
      </c>
      <c r="C588" s="89" t="s">
        <v>81</v>
      </c>
      <c r="D588" s="89" t="s">
        <v>35</v>
      </c>
      <c r="E588" s="89" t="s">
        <v>532</v>
      </c>
      <c r="F588" s="89" t="s">
        <v>848</v>
      </c>
      <c r="G588" s="89" t="s">
        <v>848</v>
      </c>
      <c r="H588" s="93" t="s">
        <v>1722</v>
      </c>
    </row>
    <row r="589" spans="2:8" x14ac:dyDescent="0.25">
      <c r="B589" s="89" t="s">
        <v>80</v>
      </c>
      <c r="C589" s="89" t="s">
        <v>81</v>
      </c>
      <c r="D589" s="89" t="s">
        <v>35</v>
      </c>
      <c r="E589" s="89" t="s">
        <v>532</v>
      </c>
      <c r="F589" s="89" t="s">
        <v>848</v>
      </c>
      <c r="G589" s="89" t="s">
        <v>1723</v>
      </c>
      <c r="H589" s="93" t="s">
        <v>1724</v>
      </c>
    </row>
    <row r="590" spans="2:8" x14ac:dyDescent="0.25">
      <c r="B590" s="89" t="s">
        <v>80</v>
      </c>
      <c r="C590" s="89" t="s">
        <v>81</v>
      </c>
      <c r="D590" s="89" t="s">
        <v>35</v>
      </c>
      <c r="E590" s="89" t="s">
        <v>532</v>
      </c>
      <c r="F590" s="89" t="s">
        <v>848</v>
      </c>
      <c r="G590" s="89" t="s">
        <v>1725</v>
      </c>
      <c r="H590" s="93" t="s">
        <v>1726</v>
      </c>
    </row>
    <row r="591" spans="2:8" x14ac:dyDescent="0.25">
      <c r="B591" s="89" t="s">
        <v>80</v>
      </c>
      <c r="C591" s="89" t="s">
        <v>81</v>
      </c>
      <c r="D591" s="89" t="s">
        <v>35</v>
      </c>
      <c r="E591" s="89" t="s">
        <v>532</v>
      </c>
      <c r="F591" s="89" t="s">
        <v>848</v>
      </c>
      <c r="G591" s="89" t="s">
        <v>1727</v>
      </c>
      <c r="H591" s="93" t="s">
        <v>1728</v>
      </c>
    </row>
    <row r="592" spans="2:8" x14ac:dyDescent="0.25">
      <c r="B592" s="89" t="s">
        <v>80</v>
      </c>
      <c r="C592" s="89" t="s">
        <v>81</v>
      </c>
      <c r="D592" s="89" t="s">
        <v>35</v>
      </c>
      <c r="E592" s="89" t="s">
        <v>532</v>
      </c>
      <c r="F592" s="89" t="s">
        <v>848</v>
      </c>
      <c r="G592" s="89" t="s">
        <v>1729</v>
      </c>
      <c r="H592" s="93" t="s">
        <v>1730</v>
      </c>
    </row>
    <row r="593" spans="2:8" x14ac:dyDescent="0.25">
      <c r="B593" s="89" t="s">
        <v>80</v>
      </c>
      <c r="C593" s="89" t="s">
        <v>81</v>
      </c>
      <c r="D593" s="89" t="s">
        <v>35</v>
      </c>
      <c r="E593" s="89" t="s">
        <v>532</v>
      </c>
      <c r="F593" s="89" t="s">
        <v>848</v>
      </c>
      <c r="G593" s="89" t="s">
        <v>1731</v>
      </c>
      <c r="H593" s="93" t="s">
        <v>1732</v>
      </c>
    </row>
    <row r="594" spans="2:8" x14ac:dyDescent="0.25">
      <c r="B594" s="89" t="s">
        <v>80</v>
      </c>
      <c r="C594" s="89" t="s">
        <v>81</v>
      </c>
      <c r="D594" s="89" t="s">
        <v>35</v>
      </c>
      <c r="E594" s="89" t="s">
        <v>532</v>
      </c>
      <c r="F594" s="89" t="s">
        <v>848</v>
      </c>
      <c r="G594" s="89" t="s">
        <v>848</v>
      </c>
      <c r="H594" s="93" t="s">
        <v>1733</v>
      </c>
    </row>
    <row r="595" spans="2:8" x14ac:dyDescent="0.25">
      <c r="B595" s="89" t="s">
        <v>80</v>
      </c>
      <c r="C595" s="89" t="s">
        <v>81</v>
      </c>
      <c r="D595" s="89" t="s">
        <v>35</v>
      </c>
      <c r="E595" s="89" t="s">
        <v>532</v>
      </c>
      <c r="F595" s="89" t="s">
        <v>848</v>
      </c>
      <c r="G595" s="89" t="s">
        <v>1734</v>
      </c>
      <c r="H595" s="93" t="s">
        <v>1735</v>
      </c>
    </row>
    <row r="596" spans="2:8" x14ac:dyDescent="0.25">
      <c r="B596" s="89" t="s">
        <v>80</v>
      </c>
      <c r="C596" s="89" t="s">
        <v>81</v>
      </c>
      <c r="D596" s="89" t="s">
        <v>35</v>
      </c>
      <c r="E596" s="89" t="s">
        <v>532</v>
      </c>
      <c r="F596" s="89" t="s">
        <v>848</v>
      </c>
      <c r="G596" s="89" t="s">
        <v>1736</v>
      </c>
      <c r="H596" s="93" t="s">
        <v>1737</v>
      </c>
    </row>
    <row r="597" spans="2:8" x14ac:dyDescent="0.25">
      <c r="B597" s="89" t="s">
        <v>80</v>
      </c>
      <c r="C597" s="89" t="s">
        <v>81</v>
      </c>
      <c r="D597" s="89" t="s">
        <v>35</v>
      </c>
      <c r="E597" s="89" t="s">
        <v>532</v>
      </c>
      <c r="F597" s="89" t="s">
        <v>848</v>
      </c>
      <c r="G597" s="89" t="s">
        <v>1738</v>
      </c>
      <c r="H597" s="93" t="s">
        <v>1739</v>
      </c>
    </row>
    <row r="598" spans="2:8" x14ac:dyDescent="0.25">
      <c r="B598" s="89" t="s">
        <v>80</v>
      </c>
      <c r="C598" s="89" t="s">
        <v>81</v>
      </c>
      <c r="D598" s="89" t="s">
        <v>35</v>
      </c>
      <c r="E598" s="89" t="s">
        <v>532</v>
      </c>
      <c r="F598" s="89" t="s">
        <v>848</v>
      </c>
      <c r="G598" s="89" t="s">
        <v>1740</v>
      </c>
      <c r="H598" s="93" t="s">
        <v>1741</v>
      </c>
    </row>
    <row r="599" spans="2:8" x14ac:dyDescent="0.25">
      <c r="B599" s="89" t="s">
        <v>80</v>
      </c>
      <c r="C599" s="89" t="s">
        <v>81</v>
      </c>
      <c r="D599" s="89" t="s">
        <v>35</v>
      </c>
      <c r="E599" s="89" t="s">
        <v>532</v>
      </c>
      <c r="F599" s="89" t="s">
        <v>848</v>
      </c>
      <c r="G599" s="89" t="s">
        <v>1742</v>
      </c>
      <c r="H599" s="93" t="s">
        <v>1743</v>
      </c>
    </row>
    <row r="600" spans="2:8" x14ac:dyDescent="0.25">
      <c r="B600" s="89" t="s">
        <v>80</v>
      </c>
      <c r="C600" s="89" t="s">
        <v>81</v>
      </c>
      <c r="D600" s="89" t="s">
        <v>35</v>
      </c>
      <c r="E600" s="89" t="s">
        <v>532</v>
      </c>
      <c r="F600" s="89" t="s">
        <v>848</v>
      </c>
      <c r="G600" s="89" t="s">
        <v>1744</v>
      </c>
      <c r="H600" s="93" t="s">
        <v>1745</v>
      </c>
    </row>
    <row r="601" spans="2:8" x14ac:dyDescent="0.25">
      <c r="B601" s="89" t="s">
        <v>80</v>
      </c>
      <c r="C601" s="89" t="s">
        <v>81</v>
      </c>
      <c r="D601" s="89" t="s">
        <v>35</v>
      </c>
      <c r="E601" s="89" t="s">
        <v>532</v>
      </c>
      <c r="F601" s="89" t="s">
        <v>848</v>
      </c>
      <c r="G601" s="89" t="s">
        <v>1746</v>
      </c>
      <c r="H601" s="93" t="s">
        <v>536</v>
      </c>
    </row>
    <row r="602" spans="2:8" x14ac:dyDescent="0.25">
      <c r="B602" s="89" t="s">
        <v>80</v>
      </c>
      <c r="C602" s="89" t="s">
        <v>81</v>
      </c>
      <c r="D602" s="89" t="s">
        <v>35</v>
      </c>
      <c r="E602" s="89" t="s">
        <v>532</v>
      </c>
      <c r="F602" s="89" t="s">
        <v>848</v>
      </c>
      <c r="G602" s="89" t="s">
        <v>1747</v>
      </c>
      <c r="H602" s="93" t="s">
        <v>1748</v>
      </c>
    </row>
    <row r="603" spans="2:8" x14ac:dyDescent="0.25">
      <c r="B603" s="89" t="s">
        <v>80</v>
      </c>
      <c r="C603" s="89" t="s">
        <v>81</v>
      </c>
      <c r="D603" s="89" t="s">
        <v>35</v>
      </c>
      <c r="E603" s="89" t="s">
        <v>532</v>
      </c>
      <c r="F603" s="89" t="s">
        <v>848</v>
      </c>
      <c r="G603" s="89" t="s">
        <v>1749</v>
      </c>
      <c r="H603" s="93" t="s">
        <v>1750</v>
      </c>
    </row>
    <row r="604" spans="2:8" x14ac:dyDescent="0.25">
      <c r="B604" s="89" t="s">
        <v>80</v>
      </c>
      <c r="C604" s="89" t="s">
        <v>81</v>
      </c>
      <c r="D604" s="89" t="s">
        <v>35</v>
      </c>
      <c r="E604" s="89" t="s">
        <v>532</v>
      </c>
      <c r="F604" s="89" t="s">
        <v>848</v>
      </c>
      <c r="G604" s="89" t="s">
        <v>1751</v>
      </c>
      <c r="H604" s="93" t="s">
        <v>538</v>
      </c>
    </row>
    <row r="605" spans="2:8" x14ac:dyDescent="0.25">
      <c r="B605" s="89" t="s">
        <v>80</v>
      </c>
      <c r="C605" s="89" t="s">
        <v>81</v>
      </c>
      <c r="D605" s="89" t="s">
        <v>35</v>
      </c>
      <c r="E605" s="89" t="s">
        <v>532</v>
      </c>
      <c r="F605" s="89" t="s">
        <v>849</v>
      </c>
      <c r="G605" s="89" t="s">
        <v>1752</v>
      </c>
      <c r="H605" s="93" t="s">
        <v>1753</v>
      </c>
    </row>
    <row r="606" spans="2:8" x14ac:dyDescent="0.25">
      <c r="B606" s="89" t="s">
        <v>80</v>
      </c>
      <c r="C606" s="89" t="s">
        <v>81</v>
      </c>
      <c r="D606" s="89" t="s">
        <v>35</v>
      </c>
      <c r="E606" s="89" t="s">
        <v>532</v>
      </c>
      <c r="F606" s="89" t="s">
        <v>849</v>
      </c>
      <c r="G606" s="89" t="s">
        <v>555</v>
      </c>
      <c r="H606" s="93" t="s">
        <v>556</v>
      </c>
    </row>
    <row r="607" spans="2:8" x14ac:dyDescent="0.25">
      <c r="B607" s="89" t="s">
        <v>80</v>
      </c>
      <c r="C607" s="89" t="s">
        <v>81</v>
      </c>
      <c r="D607" s="89" t="s">
        <v>35</v>
      </c>
      <c r="E607" s="89" t="s">
        <v>532</v>
      </c>
      <c r="F607" s="89" t="s">
        <v>849</v>
      </c>
      <c r="G607" s="89" t="s">
        <v>559</v>
      </c>
      <c r="H607" s="93" t="s">
        <v>560</v>
      </c>
    </row>
    <row r="608" spans="2:8" x14ac:dyDescent="0.25">
      <c r="B608" s="89" t="s">
        <v>80</v>
      </c>
      <c r="C608" s="89" t="s">
        <v>81</v>
      </c>
      <c r="D608" s="89" t="s">
        <v>35</v>
      </c>
      <c r="E608" s="89" t="s">
        <v>532</v>
      </c>
      <c r="F608" s="89" t="s">
        <v>849</v>
      </c>
      <c r="G608" s="89" t="s">
        <v>1754</v>
      </c>
      <c r="H608" s="93" t="s">
        <v>1755</v>
      </c>
    </row>
    <row r="609" spans="2:8" x14ac:dyDescent="0.25">
      <c r="B609" s="89" t="s">
        <v>80</v>
      </c>
      <c r="C609" s="89" t="s">
        <v>81</v>
      </c>
      <c r="D609" s="89" t="s">
        <v>35</v>
      </c>
      <c r="E609" s="89" t="s">
        <v>532</v>
      </c>
      <c r="F609" s="89" t="s">
        <v>849</v>
      </c>
      <c r="G609" s="89" t="s">
        <v>549</v>
      </c>
      <c r="H609" s="93" t="s">
        <v>550</v>
      </c>
    </row>
    <row r="610" spans="2:8" x14ac:dyDescent="0.25">
      <c r="B610" s="89" t="s">
        <v>80</v>
      </c>
      <c r="C610" s="89" t="s">
        <v>81</v>
      </c>
      <c r="D610" s="89" t="s">
        <v>35</v>
      </c>
      <c r="E610" s="89" t="s">
        <v>532</v>
      </c>
      <c r="F610" s="89" t="s">
        <v>849</v>
      </c>
      <c r="G610" s="89" t="s">
        <v>1756</v>
      </c>
      <c r="H610" s="93" t="s">
        <v>1757</v>
      </c>
    </row>
    <row r="611" spans="2:8" x14ac:dyDescent="0.25">
      <c r="B611" s="89" t="s">
        <v>80</v>
      </c>
      <c r="C611" s="89" t="s">
        <v>81</v>
      </c>
      <c r="D611" s="89" t="s">
        <v>35</v>
      </c>
      <c r="E611" s="89" t="s">
        <v>532</v>
      </c>
      <c r="F611" s="89" t="s">
        <v>849</v>
      </c>
      <c r="G611" s="89" t="s">
        <v>1758</v>
      </c>
      <c r="H611" s="93" t="s">
        <v>1759</v>
      </c>
    </row>
    <row r="612" spans="2:8" x14ac:dyDescent="0.25">
      <c r="B612" s="89" t="s">
        <v>80</v>
      </c>
      <c r="C612" s="89" t="s">
        <v>81</v>
      </c>
      <c r="D612" s="89" t="s">
        <v>35</v>
      </c>
      <c r="E612" s="89" t="s">
        <v>532</v>
      </c>
      <c r="F612" s="89" t="s">
        <v>849</v>
      </c>
      <c r="G612" s="89" t="s">
        <v>553</v>
      </c>
      <c r="H612" s="93" t="s">
        <v>554</v>
      </c>
    </row>
    <row r="613" spans="2:8" x14ac:dyDescent="0.25">
      <c r="B613" s="89" t="s">
        <v>80</v>
      </c>
      <c r="C613" s="89" t="s">
        <v>81</v>
      </c>
      <c r="D613" s="89" t="s">
        <v>35</v>
      </c>
      <c r="E613" s="89" t="s">
        <v>532</v>
      </c>
      <c r="F613" s="89" t="s">
        <v>849</v>
      </c>
      <c r="G613" s="89" t="s">
        <v>1760</v>
      </c>
      <c r="H613" s="93" t="s">
        <v>1761</v>
      </c>
    </row>
    <row r="614" spans="2:8" x14ac:dyDescent="0.25">
      <c r="B614" s="89" t="s">
        <v>80</v>
      </c>
      <c r="C614" s="89" t="s">
        <v>81</v>
      </c>
      <c r="D614" s="89" t="s">
        <v>35</v>
      </c>
      <c r="E614" s="89" t="s">
        <v>532</v>
      </c>
      <c r="F614" s="89" t="s">
        <v>849</v>
      </c>
      <c r="G614" s="89" t="s">
        <v>561</v>
      </c>
      <c r="H614" s="93" t="s">
        <v>562</v>
      </c>
    </row>
    <row r="615" spans="2:8" x14ac:dyDescent="0.25">
      <c r="B615" s="89" t="s">
        <v>80</v>
      </c>
      <c r="C615" s="89" t="s">
        <v>81</v>
      </c>
      <c r="D615" s="89" t="s">
        <v>35</v>
      </c>
      <c r="E615" s="89" t="s">
        <v>532</v>
      </c>
      <c r="F615" s="89" t="s">
        <v>849</v>
      </c>
      <c r="G615" s="89" t="s">
        <v>551</v>
      </c>
      <c r="H615" s="93" t="s">
        <v>552</v>
      </c>
    </row>
    <row r="616" spans="2:8" x14ac:dyDescent="0.25">
      <c r="B616" s="89" t="s">
        <v>80</v>
      </c>
      <c r="C616" s="89" t="s">
        <v>81</v>
      </c>
      <c r="D616" s="89" t="s">
        <v>35</v>
      </c>
      <c r="E616" s="89" t="s">
        <v>532</v>
      </c>
      <c r="F616" s="89" t="s">
        <v>849</v>
      </c>
      <c r="G616" s="89" t="s">
        <v>557</v>
      </c>
      <c r="H616" s="93" t="s">
        <v>558</v>
      </c>
    </row>
    <row r="617" spans="2:8" x14ac:dyDescent="0.25">
      <c r="B617" s="89" t="s">
        <v>80</v>
      </c>
      <c r="C617" s="89" t="s">
        <v>81</v>
      </c>
      <c r="D617" s="89" t="s">
        <v>35</v>
      </c>
      <c r="E617" s="89" t="s">
        <v>532</v>
      </c>
      <c r="F617" s="89" t="s">
        <v>849</v>
      </c>
      <c r="G617" s="89" t="s">
        <v>1762</v>
      </c>
      <c r="H617" s="93" t="s">
        <v>1763</v>
      </c>
    </row>
    <row r="618" spans="2:8" x14ac:dyDescent="0.25">
      <c r="B618" s="89" t="s">
        <v>80</v>
      </c>
      <c r="C618" s="89" t="s">
        <v>81</v>
      </c>
      <c r="D618" s="89" t="s">
        <v>35</v>
      </c>
      <c r="E618" s="89" t="s">
        <v>532</v>
      </c>
      <c r="F618" s="89" t="s">
        <v>850</v>
      </c>
      <c r="G618" s="89" t="s">
        <v>1764</v>
      </c>
      <c r="H618" s="93" t="s">
        <v>1765</v>
      </c>
    </row>
    <row r="619" spans="2:8" x14ac:dyDescent="0.25">
      <c r="B619" s="89" t="s">
        <v>80</v>
      </c>
      <c r="C619" s="89" t="s">
        <v>81</v>
      </c>
      <c r="D619" s="89" t="s">
        <v>35</v>
      </c>
      <c r="E619" s="89" t="s">
        <v>532</v>
      </c>
      <c r="F619" s="89" t="s">
        <v>850</v>
      </c>
      <c r="G619" s="89" t="s">
        <v>1766</v>
      </c>
      <c r="H619" s="93" t="s">
        <v>1767</v>
      </c>
    </row>
    <row r="620" spans="2:8" x14ac:dyDescent="0.25">
      <c r="B620" s="89" t="s">
        <v>80</v>
      </c>
      <c r="C620" s="89" t="s">
        <v>81</v>
      </c>
      <c r="D620" s="89" t="s">
        <v>35</v>
      </c>
      <c r="E620" s="89" t="s">
        <v>532</v>
      </c>
      <c r="F620" s="89" t="s">
        <v>850</v>
      </c>
      <c r="G620" s="89" t="s">
        <v>1768</v>
      </c>
      <c r="H620" s="93" t="s">
        <v>1769</v>
      </c>
    </row>
    <row r="621" spans="2:8" x14ac:dyDescent="0.25">
      <c r="B621" s="89" t="s">
        <v>80</v>
      </c>
      <c r="C621" s="89" t="s">
        <v>81</v>
      </c>
      <c r="D621" s="89" t="s">
        <v>35</v>
      </c>
      <c r="E621" s="89" t="s">
        <v>532</v>
      </c>
      <c r="F621" s="89" t="s">
        <v>850</v>
      </c>
      <c r="G621" s="89" t="s">
        <v>1770</v>
      </c>
      <c r="H621" s="93" t="s">
        <v>1771</v>
      </c>
    </row>
    <row r="622" spans="2:8" x14ac:dyDescent="0.25">
      <c r="B622" s="89" t="s">
        <v>80</v>
      </c>
      <c r="C622" s="89" t="s">
        <v>81</v>
      </c>
      <c r="D622" s="89" t="s">
        <v>35</v>
      </c>
      <c r="E622" s="89" t="s">
        <v>532</v>
      </c>
      <c r="F622" s="89" t="s">
        <v>850</v>
      </c>
      <c r="G622" s="89" t="s">
        <v>1772</v>
      </c>
      <c r="H622" s="93" t="s">
        <v>1773</v>
      </c>
    </row>
    <row r="623" spans="2:8" x14ac:dyDescent="0.25">
      <c r="B623" s="89" t="s">
        <v>80</v>
      </c>
      <c r="C623" s="89" t="s">
        <v>81</v>
      </c>
      <c r="D623" s="89" t="s">
        <v>35</v>
      </c>
      <c r="E623" s="89" t="s">
        <v>532</v>
      </c>
      <c r="F623" s="89" t="s">
        <v>850</v>
      </c>
      <c r="G623" s="89" t="s">
        <v>1774</v>
      </c>
      <c r="H623" s="93" t="s">
        <v>1775</v>
      </c>
    </row>
    <row r="624" spans="2:8" x14ac:dyDescent="0.25">
      <c r="B624" s="89" t="s">
        <v>80</v>
      </c>
      <c r="C624" s="89" t="s">
        <v>81</v>
      </c>
      <c r="D624" s="89" t="s">
        <v>35</v>
      </c>
      <c r="E624" s="89" t="s">
        <v>532</v>
      </c>
      <c r="F624" s="89" t="s">
        <v>850</v>
      </c>
      <c r="G624" s="89" t="s">
        <v>1776</v>
      </c>
      <c r="H624" s="93" t="s">
        <v>1777</v>
      </c>
    </row>
    <row r="625" spans="2:8" x14ac:dyDescent="0.25">
      <c r="B625" s="89" t="s">
        <v>80</v>
      </c>
      <c r="C625" s="89" t="s">
        <v>81</v>
      </c>
      <c r="D625" s="89" t="s">
        <v>35</v>
      </c>
      <c r="E625" s="89" t="s">
        <v>532</v>
      </c>
      <c r="F625" s="89" t="s">
        <v>850</v>
      </c>
      <c r="G625" s="89" t="s">
        <v>1778</v>
      </c>
      <c r="H625" s="93" t="s">
        <v>1779</v>
      </c>
    </row>
    <row r="626" spans="2:8" x14ac:dyDescent="0.25">
      <c r="B626" s="89" t="s">
        <v>80</v>
      </c>
      <c r="C626" s="89" t="s">
        <v>81</v>
      </c>
      <c r="D626" s="89" t="s">
        <v>35</v>
      </c>
      <c r="E626" s="89" t="s">
        <v>532</v>
      </c>
      <c r="F626" s="89" t="s">
        <v>850</v>
      </c>
      <c r="G626" s="89" t="s">
        <v>1780</v>
      </c>
      <c r="H626" s="93" t="s">
        <v>1781</v>
      </c>
    </row>
    <row r="627" spans="2:8" x14ac:dyDescent="0.25">
      <c r="B627" s="89" t="s">
        <v>80</v>
      </c>
      <c r="C627" s="89" t="s">
        <v>81</v>
      </c>
      <c r="D627" s="89" t="s">
        <v>35</v>
      </c>
      <c r="E627" s="89" t="s">
        <v>532</v>
      </c>
      <c r="F627" s="89" t="s">
        <v>850</v>
      </c>
      <c r="G627" s="89" t="s">
        <v>1782</v>
      </c>
      <c r="H627" s="93" t="s">
        <v>1783</v>
      </c>
    </row>
    <row r="628" spans="2:8" x14ac:dyDescent="0.25">
      <c r="B628" s="89" t="s">
        <v>80</v>
      </c>
      <c r="C628" s="89" t="s">
        <v>81</v>
      </c>
      <c r="D628" s="89" t="s">
        <v>35</v>
      </c>
      <c r="E628" s="89" t="s">
        <v>532</v>
      </c>
      <c r="F628" s="89" t="s">
        <v>850</v>
      </c>
      <c r="G628" s="89" t="s">
        <v>1784</v>
      </c>
      <c r="H628" s="93" t="s">
        <v>1785</v>
      </c>
    </row>
    <row r="629" spans="2:8" x14ac:dyDescent="0.25">
      <c r="B629" s="89" t="s">
        <v>80</v>
      </c>
      <c r="C629" s="89" t="s">
        <v>81</v>
      </c>
      <c r="D629" s="89" t="s">
        <v>35</v>
      </c>
      <c r="E629" s="89" t="s">
        <v>532</v>
      </c>
      <c r="F629" s="89" t="s">
        <v>850</v>
      </c>
      <c r="G629" s="89" t="s">
        <v>1786</v>
      </c>
      <c r="H629" s="93" t="s">
        <v>1787</v>
      </c>
    </row>
    <row r="630" spans="2:8" x14ac:dyDescent="0.25">
      <c r="B630" s="89" t="s">
        <v>80</v>
      </c>
      <c r="C630" s="89" t="s">
        <v>81</v>
      </c>
      <c r="D630" s="89" t="s">
        <v>35</v>
      </c>
      <c r="E630" s="89" t="s">
        <v>532</v>
      </c>
      <c r="F630" s="89" t="s">
        <v>850</v>
      </c>
      <c r="G630" s="89" t="s">
        <v>1788</v>
      </c>
      <c r="H630" s="93" t="s">
        <v>1789</v>
      </c>
    </row>
    <row r="631" spans="2:8" x14ac:dyDescent="0.25">
      <c r="B631" s="89" t="s">
        <v>80</v>
      </c>
      <c r="C631" s="89" t="s">
        <v>81</v>
      </c>
      <c r="D631" s="89" t="s">
        <v>35</v>
      </c>
      <c r="E631" s="89" t="s">
        <v>532</v>
      </c>
      <c r="F631" s="89" t="s">
        <v>850</v>
      </c>
      <c r="G631" s="89" t="s">
        <v>1790</v>
      </c>
      <c r="H631" s="93" t="s">
        <v>1791</v>
      </c>
    </row>
    <row r="632" spans="2:8" x14ac:dyDescent="0.25">
      <c r="B632" s="89" t="s">
        <v>80</v>
      </c>
      <c r="C632" s="89" t="s">
        <v>81</v>
      </c>
      <c r="D632" s="89" t="s">
        <v>35</v>
      </c>
      <c r="E632" s="89" t="s">
        <v>532</v>
      </c>
      <c r="F632" s="89" t="s">
        <v>850</v>
      </c>
      <c r="G632" s="89" t="s">
        <v>1792</v>
      </c>
      <c r="H632" s="93" t="s">
        <v>1793</v>
      </c>
    </row>
    <row r="633" spans="2:8" x14ac:dyDescent="0.25">
      <c r="B633" s="89" t="s">
        <v>80</v>
      </c>
      <c r="C633" s="89" t="s">
        <v>81</v>
      </c>
      <c r="D633" s="89" t="s">
        <v>35</v>
      </c>
      <c r="E633" s="89" t="s">
        <v>532</v>
      </c>
      <c r="F633" s="89" t="s">
        <v>850</v>
      </c>
      <c r="G633" s="89" t="s">
        <v>1794</v>
      </c>
      <c r="H633" s="93" t="s">
        <v>1795</v>
      </c>
    </row>
    <row r="634" spans="2:8" x14ac:dyDescent="0.25">
      <c r="B634" s="89" t="s">
        <v>80</v>
      </c>
      <c r="C634" s="89" t="s">
        <v>81</v>
      </c>
      <c r="D634" s="89" t="s">
        <v>35</v>
      </c>
      <c r="E634" s="89" t="s">
        <v>532</v>
      </c>
      <c r="F634" s="89" t="s">
        <v>850</v>
      </c>
      <c r="G634" s="89" t="s">
        <v>1796</v>
      </c>
      <c r="H634" s="93" t="s">
        <v>1797</v>
      </c>
    </row>
    <row r="635" spans="2:8" x14ac:dyDescent="0.25">
      <c r="B635" s="89" t="s">
        <v>80</v>
      </c>
      <c r="C635" s="89" t="s">
        <v>81</v>
      </c>
      <c r="D635" s="89" t="s">
        <v>35</v>
      </c>
      <c r="E635" s="89" t="s">
        <v>532</v>
      </c>
      <c r="F635" s="89" t="s">
        <v>850</v>
      </c>
      <c r="G635" s="89" t="s">
        <v>1798</v>
      </c>
      <c r="H635" s="93" t="s">
        <v>1799</v>
      </c>
    </row>
    <row r="636" spans="2:8" x14ac:dyDescent="0.25">
      <c r="B636" s="89" t="s">
        <v>80</v>
      </c>
      <c r="C636" s="89" t="s">
        <v>81</v>
      </c>
      <c r="D636" s="89" t="s">
        <v>35</v>
      </c>
      <c r="E636" s="89" t="s">
        <v>532</v>
      </c>
      <c r="F636" s="89" t="s">
        <v>850</v>
      </c>
      <c r="G636" s="89" t="s">
        <v>1800</v>
      </c>
      <c r="H636" s="93" t="s">
        <v>1801</v>
      </c>
    </row>
    <row r="637" spans="2:8" x14ac:dyDescent="0.25">
      <c r="B637" s="89" t="s">
        <v>80</v>
      </c>
      <c r="C637" s="89" t="s">
        <v>81</v>
      </c>
      <c r="D637" s="89" t="s">
        <v>35</v>
      </c>
      <c r="E637" s="89" t="s">
        <v>532</v>
      </c>
      <c r="F637" s="89" t="s">
        <v>850</v>
      </c>
      <c r="G637" s="89" t="s">
        <v>1802</v>
      </c>
      <c r="H637" s="93" t="s">
        <v>1803</v>
      </c>
    </row>
    <row r="638" spans="2:8" x14ac:dyDescent="0.25">
      <c r="B638" s="89" t="s">
        <v>80</v>
      </c>
      <c r="C638" s="89" t="s">
        <v>81</v>
      </c>
      <c r="D638" s="89" t="s">
        <v>35</v>
      </c>
      <c r="E638" s="89" t="s">
        <v>532</v>
      </c>
      <c r="F638" s="89" t="s">
        <v>850</v>
      </c>
      <c r="G638" s="89" t="s">
        <v>1804</v>
      </c>
      <c r="H638" s="93" t="s">
        <v>1805</v>
      </c>
    </row>
    <row r="639" spans="2:8" x14ac:dyDescent="0.25">
      <c r="B639" s="89" t="s">
        <v>80</v>
      </c>
      <c r="C639" s="89" t="s">
        <v>81</v>
      </c>
      <c r="D639" s="89" t="s">
        <v>35</v>
      </c>
      <c r="E639" s="89" t="s">
        <v>532</v>
      </c>
      <c r="F639" s="89" t="s">
        <v>850</v>
      </c>
      <c r="G639" s="89" t="s">
        <v>1806</v>
      </c>
      <c r="H639" s="93" t="s">
        <v>1807</v>
      </c>
    </row>
    <row r="640" spans="2:8" x14ac:dyDescent="0.25">
      <c r="B640" s="89" t="s">
        <v>80</v>
      </c>
      <c r="C640" s="89" t="s">
        <v>81</v>
      </c>
      <c r="D640" s="89" t="s">
        <v>35</v>
      </c>
      <c r="E640" s="89" t="s">
        <v>532</v>
      </c>
      <c r="F640" s="89" t="s">
        <v>850</v>
      </c>
      <c r="G640" s="89" t="s">
        <v>1808</v>
      </c>
      <c r="H640" s="93" t="s">
        <v>1809</v>
      </c>
    </row>
    <row r="641" spans="2:8" x14ac:dyDescent="0.25">
      <c r="B641" s="89" t="s">
        <v>80</v>
      </c>
      <c r="C641" s="89" t="s">
        <v>81</v>
      </c>
      <c r="D641" s="89" t="s">
        <v>35</v>
      </c>
      <c r="E641" s="89" t="s">
        <v>532</v>
      </c>
      <c r="F641" s="89" t="s">
        <v>850</v>
      </c>
      <c r="G641" s="89" t="s">
        <v>1810</v>
      </c>
      <c r="H641" s="93" t="s">
        <v>1811</v>
      </c>
    </row>
    <row r="642" spans="2:8" x14ac:dyDescent="0.25">
      <c r="B642" s="89" t="s">
        <v>80</v>
      </c>
      <c r="C642" s="89" t="s">
        <v>81</v>
      </c>
      <c r="D642" s="89" t="s">
        <v>35</v>
      </c>
      <c r="E642" s="89" t="s">
        <v>851</v>
      </c>
      <c r="F642" s="89" t="s">
        <v>852</v>
      </c>
      <c r="G642" s="89" t="s">
        <v>1812</v>
      </c>
      <c r="H642" s="93" t="s">
        <v>1813</v>
      </c>
    </row>
    <row r="643" spans="2:8" x14ac:dyDescent="0.25">
      <c r="B643" s="89" t="s">
        <v>80</v>
      </c>
      <c r="C643" s="89" t="s">
        <v>81</v>
      </c>
      <c r="D643" s="89" t="s">
        <v>35</v>
      </c>
      <c r="E643" s="89" t="s">
        <v>851</v>
      </c>
      <c r="F643" s="89" t="s">
        <v>852</v>
      </c>
      <c r="G643" s="89" t="s">
        <v>1814</v>
      </c>
      <c r="H643" s="93" t="s">
        <v>571</v>
      </c>
    </row>
    <row r="644" spans="2:8" x14ac:dyDescent="0.25">
      <c r="B644" s="89" t="s">
        <v>80</v>
      </c>
      <c r="C644" s="89" t="s">
        <v>81</v>
      </c>
      <c r="D644" s="89" t="s">
        <v>35</v>
      </c>
      <c r="E644" s="89" t="s">
        <v>851</v>
      </c>
      <c r="F644" s="89" t="s">
        <v>852</v>
      </c>
      <c r="G644" s="89" t="s">
        <v>1815</v>
      </c>
      <c r="H644" s="93" t="s">
        <v>1816</v>
      </c>
    </row>
    <row r="645" spans="2:8" x14ac:dyDescent="0.25">
      <c r="B645" s="89" t="s">
        <v>80</v>
      </c>
      <c r="C645" s="89" t="s">
        <v>81</v>
      </c>
      <c r="D645" s="89" t="s">
        <v>35</v>
      </c>
      <c r="E645" s="89" t="s">
        <v>851</v>
      </c>
      <c r="F645" s="89" t="s">
        <v>852</v>
      </c>
      <c r="G645" s="89" t="s">
        <v>1817</v>
      </c>
      <c r="H645" s="93" t="s">
        <v>1818</v>
      </c>
    </row>
    <row r="646" spans="2:8" x14ac:dyDescent="0.25">
      <c r="B646" s="89" t="s">
        <v>80</v>
      </c>
      <c r="C646" s="89" t="s">
        <v>81</v>
      </c>
      <c r="D646" s="89" t="s">
        <v>35</v>
      </c>
      <c r="E646" s="89" t="s">
        <v>851</v>
      </c>
      <c r="F646" s="89" t="s">
        <v>852</v>
      </c>
      <c r="G646" s="89" t="s">
        <v>1819</v>
      </c>
      <c r="H646" s="93" t="s">
        <v>1820</v>
      </c>
    </row>
    <row r="647" spans="2:8" x14ac:dyDescent="0.25">
      <c r="B647" s="89" t="s">
        <v>80</v>
      </c>
      <c r="C647" s="89" t="s">
        <v>81</v>
      </c>
      <c r="D647" s="89" t="s">
        <v>35</v>
      </c>
      <c r="E647" s="89" t="s">
        <v>851</v>
      </c>
      <c r="F647" s="89" t="s">
        <v>852</v>
      </c>
      <c r="G647" s="89" t="s">
        <v>1821</v>
      </c>
      <c r="H647" s="93" t="s">
        <v>1822</v>
      </c>
    </row>
    <row r="648" spans="2:8" x14ac:dyDescent="0.25">
      <c r="B648" s="89" t="s">
        <v>80</v>
      </c>
      <c r="C648" s="89" t="s">
        <v>81</v>
      </c>
      <c r="D648" s="89" t="s">
        <v>35</v>
      </c>
      <c r="E648" s="89" t="s">
        <v>851</v>
      </c>
      <c r="F648" s="89" t="s">
        <v>852</v>
      </c>
      <c r="G648" s="89" t="s">
        <v>852</v>
      </c>
      <c r="H648" s="93" t="s">
        <v>1823</v>
      </c>
    </row>
    <row r="649" spans="2:8" x14ac:dyDescent="0.25">
      <c r="B649" s="89" t="s">
        <v>80</v>
      </c>
      <c r="C649" s="89" t="s">
        <v>81</v>
      </c>
      <c r="D649" s="89" t="s">
        <v>35</v>
      </c>
      <c r="E649" s="89" t="s">
        <v>851</v>
      </c>
      <c r="F649" s="89" t="s">
        <v>852</v>
      </c>
      <c r="G649" s="89" t="s">
        <v>1824</v>
      </c>
      <c r="H649" s="93" t="s">
        <v>1825</v>
      </c>
    </row>
    <row r="650" spans="2:8" x14ac:dyDescent="0.25">
      <c r="B650" s="89" t="s">
        <v>80</v>
      </c>
      <c r="C650" s="89" t="s">
        <v>81</v>
      </c>
      <c r="D650" s="89" t="s">
        <v>35</v>
      </c>
      <c r="E650" s="89" t="s">
        <v>851</v>
      </c>
      <c r="F650" s="89" t="s">
        <v>852</v>
      </c>
      <c r="G650" s="89" t="s">
        <v>1826</v>
      </c>
      <c r="H650" s="93" t="s">
        <v>1827</v>
      </c>
    </row>
    <row r="651" spans="2:8" x14ac:dyDescent="0.25">
      <c r="B651" s="89" t="s">
        <v>80</v>
      </c>
      <c r="C651" s="89" t="s">
        <v>81</v>
      </c>
      <c r="D651" s="89" t="s">
        <v>35</v>
      </c>
      <c r="E651" s="89" t="s">
        <v>851</v>
      </c>
      <c r="F651" s="89" t="s">
        <v>852</v>
      </c>
      <c r="G651" s="89" t="s">
        <v>852</v>
      </c>
      <c r="H651" s="93" t="s">
        <v>1828</v>
      </c>
    </row>
    <row r="652" spans="2:8" x14ac:dyDescent="0.25">
      <c r="B652" s="89" t="s">
        <v>80</v>
      </c>
      <c r="C652" s="89" t="s">
        <v>81</v>
      </c>
      <c r="D652" s="89" t="s">
        <v>35</v>
      </c>
      <c r="E652" s="89" t="s">
        <v>851</v>
      </c>
      <c r="F652" s="89" t="s">
        <v>852</v>
      </c>
      <c r="G652" s="89" t="s">
        <v>1829</v>
      </c>
      <c r="H652" s="93" t="s">
        <v>1830</v>
      </c>
    </row>
    <row r="653" spans="2:8" x14ac:dyDescent="0.25">
      <c r="B653" s="89" t="s">
        <v>80</v>
      </c>
      <c r="C653" s="89" t="s">
        <v>81</v>
      </c>
      <c r="D653" s="89" t="s">
        <v>35</v>
      </c>
      <c r="E653" s="89" t="s">
        <v>851</v>
      </c>
      <c r="F653" s="89" t="s">
        <v>852</v>
      </c>
      <c r="G653" s="89" t="s">
        <v>1831</v>
      </c>
      <c r="H653" s="93" t="s">
        <v>1832</v>
      </c>
    </row>
    <row r="654" spans="2:8" x14ac:dyDescent="0.25">
      <c r="B654" s="89" t="s">
        <v>80</v>
      </c>
      <c r="C654" s="89" t="s">
        <v>81</v>
      </c>
      <c r="D654" s="89" t="s">
        <v>35</v>
      </c>
      <c r="E654" s="89" t="s">
        <v>851</v>
      </c>
      <c r="F654" s="89" t="s">
        <v>852</v>
      </c>
      <c r="G654" s="89" t="s">
        <v>1833</v>
      </c>
      <c r="H654" s="93" t="s">
        <v>1834</v>
      </c>
    </row>
    <row r="655" spans="2:8" x14ac:dyDescent="0.25">
      <c r="B655" s="89" t="s">
        <v>80</v>
      </c>
      <c r="C655" s="89" t="s">
        <v>81</v>
      </c>
      <c r="D655" s="89" t="s">
        <v>35</v>
      </c>
      <c r="E655" s="89" t="s">
        <v>851</v>
      </c>
      <c r="F655" s="89" t="s">
        <v>852</v>
      </c>
      <c r="G655" s="89" t="s">
        <v>1835</v>
      </c>
      <c r="H655" s="93" t="s">
        <v>575</v>
      </c>
    </row>
    <row r="656" spans="2:8" x14ac:dyDescent="0.25">
      <c r="B656" s="89" t="s">
        <v>80</v>
      </c>
      <c r="C656" s="89" t="s">
        <v>81</v>
      </c>
      <c r="D656" s="89" t="s">
        <v>35</v>
      </c>
      <c r="E656" s="89" t="s">
        <v>851</v>
      </c>
      <c r="F656" s="89" t="s">
        <v>852</v>
      </c>
      <c r="G656" s="89" t="s">
        <v>1836</v>
      </c>
      <c r="H656" s="93" t="s">
        <v>1837</v>
      </c>
    </row>
    <row r="657" spans="2:8" x14ac:dyDescent="0.25">
      <c r="B657" s="89" t="s">
        <v>80</v>
      </c>
      <c r="C657" s="89" t="s">
        <v>81</v>
      </c>
      <c r="D657" s="89" t="s">
        <v>35</v>
      </c>
      <c r="E657" s="89" t="s">
        <v>851</v>
      </c>
      <c r="F657" s="89" t="s">
        <v>852</v>
      </c>
      <c r="G657" s="89" t="s">
        <v>1838</v>
      </c>
      <c r="H657" s="93" t="s">
        <v>1839</v>
      </c>
    </row>
    <row r="658" spans="2:8" x14ac:dyDescent="0.25">
      <c r="B658" s="89" t="s">
        <v>80</v>
      </c>
      <c r="C658" s="89" t="s">
        <v>81</v>
      </c>
      <c r="D658" s="89" t="s">
        <v>35</v>
      </c>
      <c r="E658" s="89" t="s">
        <v>851</v>
      </c>
      <c r="F658" s="89" t="s">
        <v>852</v>
      </c>
      <c r="G658" s="89" t="s">
        <v>1840</v>
      </c>
      <c r="H658" s="93" t="s">
        <v>1841</v>
      </c>
    </row>
    <row r="659" spans="2:8" x14ac:dyDescent="0.25">
      <c r="B659" s="89" t="s">
        <v>80</v>
      </c>
      <c r="C659" s="89" t="s">
        <v>81</v>
      </c>
      <c r="D659" s="89" t="s">
        <v>35</v>
      </c>
      <c r="E659" s="89" t="s">
        <v>851</v>
      </c>
      <c r="F659" s="89" t="s">
        <v>852</v>
      </c>
      <c r="G659" s="89" t="s">
        <v>1842</v>
      </c>
      <c r="H659" s="93" t="s">
        <v>1843</v>
      </c>
    </row>
    <row r="660" spans="2:8" x14ac:dyDescent="0.25">
      <c r="B660" s="89" t="s">
        <v>80</v>
      </c>
      <c r="C660" s="89" t="s">
        <v>81</v>
      </c>
      <c r="D660" s="89" t="s">
        <v>35</v>
      </c>
      <c r="E660" s="89" t="s">
        <v>851</v>
      </c>
      <c r="F660" s="89" t="s">
        <v>852</v>
      </c>
      <c r="G660" s="89" t="s">
        <v>576</v>
      </c>
      <c r="H660" s="93" t="s">
        <v>577</v>
      </c>
    </row>
    <row r="661" spans="2:8" x14ac:dyDescent="0.25">
      <c r="B661" s="89" t="s">
        <v>80</v>
      </c>
      <c r="C661" s="89" t="s">
        <v>81</v>
      </c>
      <c r="D661" s="89" t="s">
        <v>35</v>
      </c>
      <c r="E661" s="89" t="s">
        <v>851</v>
      </c>
      <c r="F661" s="89" t="s">
        <v>853</v>
      </c>
      <c r="G661" s="89" t="s">
        <v>584</v>
      </c>
      <c r="H661" s="93" t="s">
        <v>585</v>
      </c>
    </row>
    <row r="662" spans="2:8" x14ac:dyDescent="0.25">
      <c r="B662" s="89" t="s">
        <v>80</v>
      </c>
      <c r="C662" s="89" t="s">
        <v>81</v>
      </c>
      <c r="D662" s="89" t="s">
        <v>35</v>
      </c>
      <c r="E662" s="89" t="s">
        <v>851</v>
      </c>
      <c r="F662" s="89" t="s">
        <v>853</v>
      </c>
      <c r="G662" s="89" t="s">
        <v>1844</v>
      </c>
      <c r="H662" s="93" t="s">
        <v>1845</v>
      </c>
    </row>
    <row r="663" spans="2:8" x14ac:dyDescent="0.25">
      <c r="B663" s="89" t="s">
        <v>80</v>
      </c>
      <c r="C663" s="89" t="s">
        <v>81</v>
      </c>
      <c r="D663" s="89" t="s">
        <v>35</v>
      </c>
      <c r="E663" s="89" t="s">
        <v>851</v>
      </c>
      <c r="F663" s="89" t="s">
        <v>853</v>
      </c>
      <c r="G663" s="89" t="s">
        <v>588</v>
      </c>
      <c r="H663" s="93" t="s">
        <v>589</v>
      </c>
    </row>
    <row r="664" spans="2:8" x14ac:dyDescent="0.25">
      <c r="B664" s="89" t="s">
        <v>80</v>
      </c>
      <c r="C664" s="89" t="s">
        <v>81</v>
      </c>
      <c r="D664" s="89" t="s">
        <v>35</v>
      </c>
      <c r="E664" s="89" t="s">
        <v>851</v>
      </c>
      <c r="F664" s="89" t="s">
        <v>853</v>
      </c>
      <c r="G664" s="89" t="s">
        <v>1846</v>
      </c>
      <c r="H664" s="93" t="s">
        <v>1847</v>
      </c>
    </row>
    <row r="665" spans="2:8" x14ac:dyDescent="0.25">
      <c r="B665" s="89" t="s">
        <v>80</v>
      </c>
      <c r="C665" s="89" t="s">
        <v>81</v>
      </c>
      <c r="D665" s="89" t="s">
        <v>35</v>
      </c>
      <c r="E665" s="89" t="s">
        <v>851</v>
      </c>
      <c r="F665" s="89" t="s">
        <v>853</v>
      </c>
      <c r="G665" s="89" t="s">
        <v>1848</v>
      </c>
      <c r="H665" s="93" t="s">
        <v>1849</v>
      </c>
    </row>
    <row r="666" spans="2:8" x14ac:dyDescent="0.25">
      <c r="B666" s="89" t="s">
        <v>80</v>
      </c>
      <c r="C666" s="89" t="s">
        <v>81</v>
      </c>
      <c r="D666" s="89" t="s">
        <v>35</v>
      </c>
      <c r="E666" s="89" t="s">
        <v>851</v>
      </c>
      <c r="F666" s="89" t="s">
        <v>853</v>
      </c>
      <c r="G666" s="89" t="s">
        <v>1850</v>
      </c>
      <c r="H666" s="93" t="s">
        <v>1851</v>
      </c>
    </row>
    <row r="667" spans="2:8" x14ac:dyDescent="0.25">
      <c r="B667" s="89" t="s">
        <v>80</v>
      </c>
      <c r="C667" s="89" t="s">
        <v>81</v>
      </c>
      <c r="D667" s="89" t="s">
        <v>35</v>
      </c>
      <c r="E667" s="89" t="s">
        <v>851</v>
      </c>
      <c r="F667" s="89" t="s">
        <v>853</v>
      </c>
      <c r="G667" s="89" t="s">
        <v>1852</v>
      </c>
      <c r="H667" s="93" t="s">
        <v>1853</v>
      </c>
    </row>
    <row r="668" spans="2:8" x14ac:dyDescent="0.25">
      <c r="B668" s="89" t="s">
        <v>80</v>
      </c>
      <c r="C668" s="89" t="s">
        <v>81</v>
      </c>
      <c r="D668" s="89" t="s">
        <v>35</v>
      </c>
      <c r="E668" s="89" t="s">
        <v>851</v>
      </c>
      <c r="F668" s="89" t="s">
        <v>853</v>
      </c>
      <c r="G668" s="89" t="s">
        <v>594</v>
      </c>
      <c r="H668" s="93" t="s">
        <v>595</v>
      </c>
    </row>
    <row r="669" spans="2:8" x14ac:dyDescent="0.25">
      <c r="B669" s="89" t="s">
        <v>80</v>
      </c>
      <c r="C669" s="89" t="s">
        <v>81</v>
      </c>
      <c r="D669" s="89" t="s">
        <v>35</v>
      </c>
      <c r="E669" s="89" t="s">
        <v>851</v>
      </c>
      <c r="F669" s="89" t="s">
        <v>853</v>
      </c>
      <c r="G669" s="89" t="s">
        <v>1854</v>
      </c>
      <c r="H669" s="93" t="s">
        <v>1855</v>
      </c>
    </row>
    <row r="670" spans="2:8" x14ac:dyDescent="0.25">
      <c r="B670" s="89" t="s">
        <v>80</v>
      </c>
      <c r="C670" s="89" t="s">
        <v>81</v>
      </c>
      <c r="D670" s="89" t="s">
        <v>35</v>
      </c>
      <c r="E670" s="89" t="s">
        <v>851</v>
      </c>
      <c r="F670" s="89" t="s">
        <v>853</v>
      </c>
      <c r="G670" s="89" t="s">
        <v>1856</v>
      </c>
      <c r="H670" s="93" t="s">
        <v>1857</v>
      </c>
    </row>
    <row r="671" spans="2:8" x14ac:dyDescent="0.25">
      <c r="B671" s="89" t="s">
        <v>80</v>
      </c>
      <c r="C671" s="89" t="s">
        <v>81</v>
      </c>
      <c r="D671" s="89" t="s">
        <v>35</v>
      </c>
      <c r="E671" s="89" t="s">
        <v>851</v>
      </c>
      <c r="F671" s="89" t="s">
        <v>853</v>
      </c>
      <c r="G671" s="89" t="s">
        <v>1858</v>
      </c>
      <c r="H671" s="93" t="s">
        <v>1859</v>
      </c>
    </row>
    <row r="672" spans="2:8" x14ac:dyDescent="0.25">
      <c r="B672" s="89" t="s">
        <v>80</v>
      </c>
      <c r="C672" s="89" t="s">
        <v>81</v>
      </c>
      <c r="D672" s="89" t="s">
        <v>35</v>
      </c>
      <c r="E672" s="89" t="s">
        <v>851</v>
      </c>
      <c r="F672" s="89" t="s">
        <v>853</v>
      </c>
      <c r="G672" s="89" t="s">
        <v>1860</v>
      </c>
      <c r="H672" s="93" t="s">
        <v>1861</v>
      </c>
    </row>
    <row r="673" spans="2:8" x14ac:dyDescent="0.25">
      <c r="B673" s="89" t="s">
        <v>80</v>
      </c>
      <c r="C673" s="89" t="s">
        <v>81</v>
      </c>
      <c r="D673" s="89" t="s">
        <v>35</v>
      </c>
      <c r="E673" s="89" t="s">
        <v>851</v>
      </c>
      <c r="F673" s="89" t="s">
        <v>853</v>
      </c>
      <c r="G673" s="89" t="s">
        <v>1862</v>
      </c>
      <c r="H673" s="93" t="s">
        <v>1863</v>
      </c>
    </row>
    <row r="674" spans="2:8" x14ac:dyDescent="0.25">
      <c r="B674" s="89" t="s">
        <v>80</v>
      </c>
      <c r="C674" s="89" t="s">
        <v>81</v>
      </c>
      <c r="D674" s="89" t="s">
        <v>35</v>
      </c>
      <c r="E674" s="89" t="s">
        <v>851</v>
      </c>
      <c r="F674" s="89" t="s">
        <v>853</v>
      </c>
      <c r="G674" s="89" t="s">
        <v>1864</v>
      </c>
      <c r="H674" s="93" t="s">
        <v>1865</v>
      </c>
    </row>
    <row r="675" spans="2:8" x14ac:dyDescent="0.25">
      <c r="B675" s="89" t="s">
        <v>80</v>
      </c>
      <c r="C675" s="89" t="s">
        <v>81</v>
      </c>
      <c r="D675" s="89" t="s">
        <v>35</v>
      </c>
      <c r="E675" s="89" t="s">
        <v>851</v>
      </c>
      <c r="F675" s="89" t="s">
        <v>853</v>
      </c>
      <c r="G675" s="89" t="s">
        <v>1866</v>
      </c>
      <c r="H675" s="93" t="s">
        <v>1867</v>
      </c>
    </row>
    <row r="676" spans="2:8" x14ac:dyDescent="0.25">
      <c r="B676" s="89" t="s">
        <v>80</v>
      </c>
      <c r="C676" s="89" t="s">
        <v>81</v>
      </c>
      <c r="D676" s="89" t="s">
        <v>35</v>
      </c>
      <c r="E676" s="89" t="s">
        <v>851</v>
      </c>
      <c r="F676" s="89" t="s">
        <v>853</v>
      </c>
      <c r="G676" s="89" t="s">
        <v>1868</v>
      </c>
      <c r="H676" s="93" t="s">
        <v>1869</v>
      </c>
    </row>
    <row r="677" spans="2:8" x14ac:dyDescent="0.25">
      <c r="B677" s="89" t="s">
        <v>80</v>
      </c>
      <c r="C677" s="89" t="s">
        <v>81</v>
      </c>
      <c r="D677" s="89" t="s">
        <v>35</v>
      </c>
      <c r="E677" s="89" t="s">
        <v>851</v>
      </c>
      <c r="F677" s="89" t="s">
        <v>853</v>
      </c>
      <c r="G677" s="89" t="s">
        <v>1870</v>
      </c>
      <c r="H677" s="93" t="s">
        <v>1871</v>
      </c>
    </row>
    <row r="678" spans="2:8" x14ac:dyDescent="0.25">
      <c r="B678" s="89" t="s">
        <v>80</v>
      </c>
      <c r="C678" s="89" t="s">
        <v>81</v>
      </c>
      <c r="D678" s="89" t="s">
        <v>35</v>
      </c>
      <c r="E678" s="89" t="s">
        <v>851</v>
      </c>
      <c r="F678" s="89" t="s">
        <v>853</v>
      </c>
      <c r="G678" s="89" t="s">
        <v>1872</v>
      </c>
      <c r="H678" s="93" t="s">
        <v>1873</v>
      </c>
    </row>
    <row r="679" spans="2:8" x14ac:dyDescent="0.25">
      <c r="B679" s="89" t="s">
        <v>80</v>
      </c>
      <c r="C679" s="89" t="s">
        <v>81</v>
      </c>
      <c r="D679" s="89" t="s">
        <v>35</v>
      </c>
      <c r="E679" s="89" t="s">
        <v>851</v>
      </c>
      <c r="F679" s="89" t="s">
        <v>853</v>
      </c>
      <c r="G679" s="89" t="s">
        <v>1874</v>
      </c>
      <c r="H679" s="93" t="s">
        <v>1875</v>
      </c>
    </row>
    <row r="680" spans="2:8" x14ac:dyDescent="0.25">
      <c r="B680" s="89" t="s">
        <v>80</v>
      </c>
      <c r="C680" s="89" t="s">
        <v>81</v>
      </c>
      <c r="D680" s="89" t="s">
        <v>35</v>
      </c>
      <c r="E680" s="89" t="s">
        <v>851</v>
      </c>
      <c r="F680" s="89" t="s">
        <v>854</v>
      </c>
      <c r="G680" s="89" t="s">
        <v>1876</v>
      </c>
      <c r="H680" s="93" t="s">
        <v>1877</v>
      </c>
    </row>
    <row r="681" spans="2:8" x14ac:dyDescent="0.25">
      <c r="B681" s="89" t="s">
        <v>80</v>
      </c>
      <c r="C681" s="89" t="s">
        <v>81</v>
      </c>
      <c r="D681" s="89" t="s">
        <v>35</v>
      </c>
      <c r="E681" s="89" t="s">
        <v>851</v>
      </c>
      <c r="F681" s="89" t="s">
        <v>854</v>
      </c>
      <c r="G681" s="89" t="s">
        <v>1878</v>
      </c>
      <c r="H681" s="93" t="s">
        <v>1879</v>
      </c>
    </row>
    <row r="682" spans="2:8" x14ac:dyDescent="0.25">
      <c r="B682" s="89" t="s">
        <v>80</v>
      </c>
      <c r="C682" s="89" t="s">
        <v>81</v>
      </c>
      <c r="D682" s="89" t="s">
        <v>35</v>
      </c>
      <c r="E682" s="89" t="s">
        <v>851</v>
      </c>
      <c r="F682" s="89" t="s">
        <v>854</v>
      </c>
      <c r="G682" s="89" t="s">
        <v>1880</v>
      </c>
      <c r="H682" s="93" t="s">
        <v>1881</v>
      </c>
    </row>
    <row r="683" spans="2:8" x14ac:dyDescent="0.25">
      <c r="B683" s="89" t="s">
        <v>80</v>
      </c>
      <c r="C683" s="89" t="s">
        <v>81</v>
      </c>
      <c r="D683" s="89" t="s">
        <v>35</v>
      </c>
      <c r="E683" s="89" t="s">
        <v>851</v>
      </c>
      <c r="F683" s="89" t="s">
        <v>854</v>
      </c>
      <c r="G683" s="89" t="s">
        <v>1882</v>
      </c>
      <c r="H683" s="93" t="s">
        <v>1883</v>
      </c>
    </row>
    <row r="684" spans="2:8" x14ac:dyDescent="0.25">
      <c r="B684" s="89" t="s">
        <v>80</v>
      </c>
      <c r="C684" s="89" t="s">
        <v>81</v>
      </c>
      <c r="D684" s="89" t="s">
        <v>35</v>
      </c>
      <c r="E684" s="89" t="s">
        <v>851</v>
      </c>
      <c r="F684" s="89" t="s">
        <v>854</v>
      </c>
      <c r="G684" s="89" t="s">
        <v>1884</v>
      </c>
      <c r="H684" s="93" t="s">
        <v>1885</v>
      </c>
    </row>
    <row r="685" spans="2:8" x14ac:dyDescent="0.25">
      <c r="B685" s="89" t="s">
        <v>80</v>
      </c>
      <c r="C685" s="89" t="s">
        <v>81</v>
      </c>
      <c r="D685" s="89" t="s">
        <v>35</v>
      </c>
      <c r="E685" s="89" t="s">
        <v>851</v>
      </c>
      <c r="F685" s="89" t="s">
        <v>854</v>
      </c>
      <c r="G685" s="89" t="s">
        <v>1886</v>
      </c>
      <c r="H685" s="93" t="s">
        <v>1887</v>
      </c>
    </row>
    <row r="686" spans="2:8" x14ac:dyDescent="0.25">
      <c r="B686" s="89" t="s">
        <v>80</v>
      </c>
      <c r="C686" s="89" t="s">
        <v>81</v>
      </c>
      <c r="D686" s="89" t="s">
        <v>35</v>
      </c>
      <c r="E686" s="89" t="s">
        <v>851</v>
      </c>
      <c r="F686" s="89" t="s">
        <v>854</v>
      </c>
      <c r="G686" s="89" t="s">
        <v>1888</v>
      </c>
      <c r="H686" s="93" t="s">
        <v>1889</v>
      </c>
    </row>
    <row r="687" spans="2:8" x14ac:dyDescent="0.25">
      <c r="B687" s="89" t="s">
        <v>80</v>
      </c>
      <c r="C687" s="89" t="s">
        <v>81</v>
      </c>
      <c r="D687" s="89" t="s">
        <v>35</v>
      </c>
      <c r="E687" s="89" t="s">
        <v>851</v>
      </c>
      <c r="F687" s="89" t="s">
        <v>854</v>
      </c>
      <c r="G687" s="89" t="s">
        <v>580</v>
      </c>
      <c r="H687" s="93" t="s">
        <v>581</v>
      </c>
    </row>
    <row r="688" spans="2:8" x14ac:dyDescent="0.25">
      <c r="B688" s="89" t="s">
        <v>80</v>
      </c>
      <c r="C688" s="89" t="s">
        <v>81</v>
      </c>
      <c r="D688" s="89" t="s">
        <v>35</v>
      </c>
      <c r="E688" s="89" t="s">
        <v>851</v>
      </c>
      <c r="F688" s="89" t="s">
        <v>854</v>
      </c>
      <c r="G688" s="89" t="s">
        <v>586</v>
      </c>
      <c r="H688" s="93" t="s">
        <v>587</v>
      </c>
    </row>
    <row r="689" spans="2:8" x14ac:dyDescent="0.25">
      <c r="B689" s="89" t="s">
        <v>80</v>
      </c>
      <c r="C689" s="89" t="s">
        <v>81</v>
      </c>
      <c r="D689" s="89" t="s">
        <v>35</v>
      </c>
      <c r="E689" s="89" t="s">
        <v>851</v>
      </c>
      <c r="F689" s="89" t="s">
        <v>854</v>
      </c>
      <c r="G689" s="89" t="s">
        <v>1890</v>
      </c>
      <c r="H689" s="93" t="s">
        <v>1891</v>
      </c>
    </row>
    <row r="690" spans="2:8" x14ac:dyDescent="0.25">
      <c r="B690" s="89" t="s">
        <v>80</v>
      </c>
      <c r="C690" s="89" t="s">
        <v>81</v>
      </c>
      <c r="D690" s="89" t="s">
        <v>35</v>
      </c>
      <c r="E690" s="89" t="s">
        <v>851</v>
      </c>
      <c r="F690" s="89" t="s">
        <v>854</v>
      </c>
      <c r="G690" s="89" t="s">
        <v>1892</v>
      </c>
      <c r="H690" s="93" t="s">
        <v>1893</v>
      </c>
    </row>
    <row r="691" spans="2:8" x14ac:dyDescent="0.25">
      <c r="B691" s="89" t="s">
        <v>80</v>
      </c>
      <c r="C691" s="89" t="s">
        <v>81</v>
      </c>
      <c r="D691" s="89" t="s">
        <v>35</v>
      </c>
      <c r="E691" s="89" t="s">
        <v>851</v>
      </c>
      <c r="F691" s="89" t="s">
        <v>854</v>
      </c>
      <c r="G691" s="89" t="s">
        <v>592</v>
      </c>
      <c r="H691" s="93" t="s">
        <v>593</v>
      </c>
    </row>
    <row r="692" spans="2:8" x14ac:dyDescent="0.25">
      <c r="B692" s="89" t="s">
        <v>80</v>
      </c>
      <c r="C692" s="89" t="s">
        <v>81</v>
      </c>
      <c r="D692" s="89" t="s">
        <v>35</v>
      </c>
      <c r="E692" s="89" t="s">
        <v>851</v>
      </c>
      <c r="F692" s="89" t="s">
        <v>854</v>
      </c>
      <c r="G692" s="89" t="s">
        <v>1894</v>
      </c>
      <c r="H692" s="93" t="s">
        <v>1895</v>
      </c>
    </row>
    <row r="693" spans="2:8" x14ac:dyDescent="0.25">
      <c r="B693" s="89" t="s">
        <v>80</v>
      </c>
      <c r="C693" s="89" t="s">
        <v>81</v>
      </c>
      <c r="D693" s="89" t="s">
        <v>35</v>
      </c>
      <c r="E693" s="89" t="s">
        <v>851</v>
      </c>
      <c r="F693" s="89" t="s">
        <v>854</v>
      </c>
      <c r="G693" s="89" t="s">
        <v>1896</v>
      </c>
      <c r="H693" s="93" t="s">
        <v>1897</v>
      </c>
    </row>
    <row r="694" spans="2:8" x14ac:dyDescent="0.25">
      <c r="B694" s="89" t="s">
        <v>80</v>
      </c>
      <c r="C694" s="89" t="s">
        <v>81</v>
      </c>
      <c r="D694" s="89" t="s">
        <v>35</v>
      </c>
      <c r="E694" s="89" t="s">
        <v>851</v>
      </c>
      <c r="F694" s="89" t="s">
        <v>854</v>
      </c>
      <c r="G694" s="89" t="s">
        <v>1898</v>
      </c>
      <c r="H694" s="93" t="s">
        <v>1899</v>
      </c>
    </row>
    <row r="695" spans="2:8" x14ac:dyDescent="0.25">
      <c r="B695" s="89" t="s">
        <v>80</v>
      </c>
      <c r="C695" s="89" t="s">
        <v>81</v>
      </c>
      <c r="D695" s="89" t="s">
        <v>35</v>
      </c>
      <c r="E695" s="89" t="s">
        <v>851</v>
      </c>
      <c r="F695" s="89" t="s">
        <v>854</v>
      </c>
      <c r="G695" s="89" t="s">
        <v>1900</v>
      </c>
      <c r="H695" s="93" t="s">
        <v>1901</v>
      </c>
    </row>
    <row r="696" spans="2:8" x14ac:dyDescent="0.25">
      <c r="B696" s="89" t="s">
        <v>80</v>
      </c>
      <c r="C696" s="89" t="s">
        <v>81</v>
      </c>
      <c r="D696" s="89" t="s">
        <v>35</v>
      </c>
      <c r="E696" s="89" t="s">
        <v>851</v>
      </c>
      <c r="F696" s="89" t="s">
        <v>854</v>
      </c>
      <c r="G696" s="89" t="s">
        <v>1902</v>
      </c>
      <c r="H696" s="93" t="s">
        <v>1903</v>
      </c>
    </row>
    <row r="697" spans="2:8" x14ac:dyDescent="0.25">
      <c r="B697" s="89" t="s">
        <v>80</v>
      </c>
      <c r="C697" s="89" t="s">
        <v>81</v>
      </c>
      <c r="D697" s="89" t="s">
        <v>32</v>
      </c>
      <c r="E697" s="89" t="s">
        <v>855</v>
      </c>
      <c r="F697" s="89" t="s">
        <v>856</v>
      </c>
      <c r="G697" s="89" t="s">
        <v>617</v>
      </c>
      <c r="H697" s="93" t="s">
        <v>618</v>
      </c>
    </row>
    <row r="698" spans="2:8" x14ac:dyDescent="0.25">
      <c r="B698" s="89" t="s">
        <v>80</v>
      </c>
      <c r="C698" s="89" t="s">
        <v>81</v>
      </c>
      <c r="D698" s="89" t="s">
        <v>32</v>
      </c>
      <c r="E698" s="89" t="s">
        <v>855</v>
      </c>
      <c r="F698" s="89" t="s">
        <v>856</v>
      </c>
      <c r="G698" s="89" t="s">
        <v>623</v>
      </c>
      <c r="H698" s="93" t="s">
        <v>624</v>
      </c>
    </row>
    <row r="699" spans="2:8" x14ac:dyDescent="0.25">
      <c r="B699" s="89" t="s">
        <v>80</v>
      </c>
      <c r="C699" s="89" t="s">
        <v>81</v>
      </c>
      <c r="D699" s="89" t="s">
        <v>32</v>
      </c>
      <c r="E699" s="89" t="s">
        <v>855</v>
      </c>
      <c r="F699" s="89" t="s">
        <v>856</v>
      </c>
      <c r="G699" s="89" t="s">
        <v>626</v>
      </c>
      <c r="H699" s="93" t="s">
        <v>627</v>
      </c>
    </row>
    <row r="700" spans="2:8" x14ac:dyDescent="0.25">
      <c r="B700" s="89" t="s">
        <v>80</v>
      </c>
      <c r="C700" s="89" t="s">
        <v>81</v>
      </c>
      <c r="D700" s="89" t="s">
        <v>32</v>
      </c>
      <c r="E700" s="89" t="s">
        <v>855</v>
      </c>
      <c r="F700" s="89" t="s">
        <v>856</v>
      </c>
      <c r="G700" s="89" t="s">
        <v>629</v>
      </c>
      <c r="H700" s="93" t="s">
        <v>630</v>
      </c>
    </row>
    <row r="701" spans="2:8" x14ac:dyDescent="0.25">
      <c r="B701" s="89" t="s">
        <v>80</v>
      </c>
      <c r="C701" s="89" t="s">
        <v>81</v>
      </c>
      <c r="D701" s="89" t="s">
        <v>32</v>
      </c>
      <c r="E701" s="89" t="s">
        <v>855</v>
      </c>
      <c r="F701" s="89" t="s">
        <v>856</v>
      </c>
      <c r="G701" s="89" t="s">
        <v>1904</v>
      </c>
      <c r="H701" s="93" t="s">
        <v>1905</v>
      </c>
    </row>
    <row r="702" spans="2:8" x14ac:dyDescent="0.25">
      <c r="B702" s="89" t="s">
        <v>80</v>
      </c>
      <c r="C702" s="89" t="s">
        <v>81</v>
      </c>
      <c r="D702" s="89" t="s">
        <v>32</v>
      </c>
      <c r="E702" s="89" t="s">
        <v>855</v>
      </c>
      <c r="F702" s="89" t="s">
        <v>856</v>
      </c>
      <c r="G702" s="89" t="s">
        <v>620</v>
      </c>
      <c r="H702" s="93" t="s">
        <v>621</v>
      </c>
    </row>
    <row r="703" spans="2:8" x14ac:dyDescent="0.25">
      <c r="B703" s="89" t="s">
        <v>80</v>
      </c>
      <c r="C703" s="89" t="s">
        <v>81</v>
      </c>
      <c r="D703" s="89" t="s">
        <v>32</v>
      </c>
      <c r="E703" s="89" t="s">
        <v>855</v>
      </c>
      <c r="F703" s="89" t="s">
        <v>856</v>
      </c>
      <c r="G703" s="89" t="s">
        <v>632</v>
      </c>
      <c r="H703" s="93" t="s">
        <v>633</v>
      </c>
    </row>
    <row r="704" spans="2:8" x14ac:dyDescent="0.25">
      <c r="B704" s="89" t="s">
        <v>80</v>
      </c>
      <c r="C704" s="89" t="s">
        <v>81</v>
      </c>
      <c r="D704" s="89" t="s">
        <v>32</v>
      </c>
      <c r="E704" s="89" t="s">
        <v>855</v>
      </c>
      <c r="F704" s="89" t="s">
        <v>857</v>
      </c>
      <c r="G704" s="89" t="s">
        <v>1906</v>
      </c>
      <c r="H704" s="93" t="s">
        <v>1907</v>
      </c>
    </row>
    <row r="705" spans="2:8" x14ac:dyDescent="0.25">
      <c r="B705" s="89" t="s">
        <v>80</v>
      </c>
      <c r="C705" s="89" t="s">
        <v>81</v>
      </c>
      <c r="D705" s="89" t="s">
        <v>32</v>
      </c>
      <c r="E705" s="89" t="s">
        <v>855</v>
      </c>
      <c r="F705" s="89" t="s">
        <v>857</v>
      </c>
      <c r="G705" s="89" t="s">
        <v>673</v>
      </c>
      <c r="H705" s="93" t="s">
        <v>674</v>
      </c>
    </row>
    <row r="706" spans="2:8" x14ac:dyDescent="0.25">
      <c r="B706" s="89" t="s">
        <v>80</v>
      </c>
      <c r="C706" s="89" t="s">
        <v>81</v>
      </c>
      <c r="D706" s="89" t="s">
        <v>32</v>
      </c>
      <c r="E706" s="89" t="s">
        <v>855</v>
      </c>
      <c r="F706" s="89" t="s">
        <v>857</v>
      </c>
      <c r="G706" s="89" t="s">
        <v>678</v>
      </c>
      <c r="H706" s="93" t="s">
        <v>679</v>
      </c>
    </row>
    <row r="707" spans="2:8" x14ac:dyDescent="0.25">
      <c r="B707" s="89" t="s">
        <v>80</v>
      </c>
      <c r="C707" s="89" t="s">
        <v>81</v>
      </c>
      <c r="D707" s="89" t="s">
        <v>32</v>
      </c>
      <c r="E707" s="89" t="s">
        <v>855</v>
      </c>
      <c r="F707" s="89" t="s">
        <v>857</v>
      </c>
      <c r="G707" s="89" t="s">
        <v>684</v>
      </c>
      <c r="H707" s="93" t="s">
        <v>685</v>
      </c>
    </row>
    <row r="708" spans="2:8" x14ac:dyDescent="0.25">
      <c r="B708" s="89" t="s">
        <v>80</v>
      </c>
      <c r="C708" s="89" t="s">
        <v>81</v>
      </c>
      <c r="D708" s="89" t="s">
        <v>32</v>
      </c>
      <c r="E708" s="89" t="s">
        <v>855</v>
      </c>
      <c r="F708" s="89" t="s">
        <v>857</v>
      </c>
      <c r="G708" s="89" t="s">
        <v>1908</v>
      </c>
      <c r="H708" s="93" t="s">
        <v>1909</v>
      </c>
    </row>
    <row r="709" spans="2:8" x14ac:dyDescent="0.25">
      <c r="B709" s="89" t="s">
        <v>80</v>
      </c>
      <c r="C709" s="89" t="s">
        <v>81</v>
      </c>
      <c r="D709" s="89" t="s">
        <v>32</v>
      </c>
      <c r="E709" s="89" t="s">
        <v>855</v>
      </c>
      <c r="F709" s="89" t="s">
        <v>857</v>
      </c>
      <c r="G709" s="89" t="s">
        <v>1910</v>
      </c>
      <c r="H709" s="93" t="s">
        <v>1911</v>
      </c>
    </row>
    <row r="710" spans="2:8" x14ac:dyDescent="0.25">
      <c r="B710" s="89" t="s">
        <v>80</v>
      </c>
      <c r="C710" s="89" t="s">
        <v>81</v>
      </c>
      <c r="D710" s="89" t="s">
        <v>32</v>
      </c>
      <c r="E710" s="89" t="s">
        <v>855</v>
      </c>
      <c r="F710" s="89" t="s">
        <v>857</v>
      </c>
      <c r="G710" s="89" t="s">
        <v>1912</v>
      </c>
      <c r="H710" s="93" t="s">
        <v>1913</v>
      </c>
    </row>
    <row r="711" spans="2:8" x14ac:dyDescent="0.25">
      <c r="B711" s="89" t="s">
        <v>80</v>
      </c>
      <c r="C711" s="89" t="s">
        <v>81</v>
      </c>
      <c r="D711" s="89" t="s">
        <v>32</v>
      </c>
      <c r="E711" s="89" t="s">
        <v>855</v>
      </c>
      <c r="F711" s="89" t="s">
        <v>857</v>
      </c>
      <c r="G711" s="89" t="s">
        <v>1914</v>
      </c>
      <c r="H711" s="93" t="s">
        <v>1915</v>
      </c>
    </row>
    <row r="712" spans="2:8" x14ac:dyDescent="0.25">
      <c r="B712" s="89" t="s">
        <v>80</v>
      </c>
      <c r="C712" s="89" t="s">
        <v>81</v>
      </c>
      <c r="D712" s="89" t="s">
        <v>32</v>
      </c>
      <c r="E712" s="89" t="s">
        <v>855</v>
      </c>
      <c r="F712" s="89" t="s">
        <v>857</v>
      </c>
      <c r="G712" s="89" t="s">
        <v>1916</v>
      </c>
      <c r="H712" s="93" t="s">
        <v>1917</v>
      </c>
    </row>
    <row r="713" spans="2:8" x14ac:dyDescent="0.25">
      <c r="B713" s="89" t="s">
        <v>80</v>
      </c>
      <c r="C713" s="89" t="s">
        <v>81</v>
      </c>
      <c r="D713" s="89" t="s">
        <v>32</v>
      </c>
      <c r="E713" s="89" t="s">
        <v>855</v>
      </c>
      <c r="F713" s="89" t="s">
        <v>857</v>
      </c>
      <c r="G713" s="89" t="s">
        <v>1918</v>
      </c>
      <c r="H713" s="93" t="s">
        <v>1919</v>
      </c>
    </row>
    <row r="714" spans="2:8" x14ac:dyDescent="0.25">
      <c r="B714" s="89" t="s">
        <v>80</v>
      </c>
      <c r="C714" s="89" t="s">
        <v>81</v>
      </c>
      <c r="D714" s="89" t="s">
        <v>32</v>
      </c>
      <c r="E714" s="89" t="s">
        <v>855</v>
      </c>
      <c r="F714" s="89" t="s">
        <v>857</v>
      </c>
      <c r="G714" s="89" t="s">
        <v>1920</v>
      </c>
      <c r="H714" s="93" t="s">
        <v>1921</v>
      </c>
    </row>
    <row r="715" spans="2:8" x14ac:dyDescent="0.25">
      <c r="B715" s="89" t="s">
        <v>80</v>
      </c>
      <c r="C715" s="89" t="s">
        <v>81</v>
      </c>
      <c r="D715" s="89" t="s">
        <v>32</v>
      </c>
      <c r="E715" s="89" t="s">
        <v>855</v>
      </c>
      <c r="F715" s="89" t="s">
        <v>857</v>
      </c>
      <c r="G715" s="89" t="s">
        <v>1922</v>
      </c>
      <c r="H715" s="93" t="s">
        <v>1923</v>
      </c>
    </row>
    <row r="716" spans="2:8" x14ac:dyDescent="0.25">
      <c r="B716" s="89" t="s">
        <v>80</v>
      </c>
      <c r="C716" s="89" t="s">
        <v>81</v>
      </c>
      <c r="D716" s="89" t="s">
        <v>32</v>
      </c>
      <c r="E716" s="89" t="s">
        <v>855</v>
      </c>
      <c r="F716" s="89" t="s">
        <v>857</v>
      </c>
      <c r="G716" s="89" t="s">
        <v>1924</v>
      </c>
      <c r="H716" s="93" t="s">
        <v>1925</v>
      </c>
    </row>
    <row r="717" spans="2:8" x14ac:dyDescent="0.25">
      <c r="B717" s="89" t="s">
        <v>80</v>
      </c>
      <c r="C717" s="89" t="s">
        <v>81</v>
      </c>
      <c r="D717" s="89" t="s">
        <v>32</v>
      </c>
      <c r="E717" s="89" t="s">
        <v>855</v>
      </c>
      <c r="F717" s="89" t="s">
        <v>857</v>
      </c>
      <c r="G717" s="89" t="s">
        <v>1926</v>
      </c>
      <c r="H717" s="93" t="s">
        <v>1927</v>
      </c>
    </row>
    <row r="718" spans="2:8" x14ac:dyDescent="0.25">
      <c r="B718" s="89" t="s">
        <v>80</v>
      </c>
      <c r="C718" s="89" t="s">
        <v>81</v>
      </c>
      <c r="D718" s="89" t="s">
        <v>32</v>
      </c>
      <c r="E718" s="89" t="s">
        <v>855</v>
      </c>
      <c r="F718" s="89" t="s">
        <v>857</v>
      </c>
      <c r="G718" s="89" t="s">
        <v>1928</v>
      </c>
      <c r="H718" s="93" t="s">
        <v>1929</v>
      </c>
    </row>
    <row r="719" spans="2:8" x14ac:dyDescent="0.25">
      <c r="B719" s="89" t="s">
        <v>80</v>
      </c>
      <c r="C719" s="89" t="s">
        <v>81</v>
      </c>
      <c r="D719" s="89" t="s">
        <v>32</v>
      </c>
      <c r="E719" s="89" t="s">
        <v>855</v>
      </c>
      <c r="F719" s="89" t="s">
        <v>857</v>
      </c>
      <c r="G719" s="89" t="s">
        <v>1930</v>
      </c>
      <c r="H719" s="93" t="s">
        <v>1931</v>
      </c>
    </row>
    <row r="720" spans="2:8" x14ac:dyDescent="0.25">
      <c r="B720" s="89" t="s">
        <v>80</v>
      </c>
      <c r="C720" s="89" t="s">
        <v>81</v>
      </c>
      <c r="D720" s="89" t="s">
        <v>32</v>
      </c>
      <c r="E720" s="89" t="s">
        <v>855</v>
      </c>
      <c r="F720" s="89" t="s">
        <v>857</v>
      </c>
      <c r="G720" s="89" t="s">
        <v>1932</v>
      </c>
      <c r="H720" s="93" t="s">
        <v>1933</v>
      </c>
    </row>
    <row r="721" spans="2:8" x14ac:dyDescent="0.25">
      <c r="B721" s="89" t="s">
        <v>80</v>
      </c>
      <c r="C721" s="89" t="s">
        <v>81</v>
      </c>
      <c r="D721" s="89" t="s">
        <v>32</v>
      </c>
      <c r="E721" s="89" t="s">
        <v>855</v>
      </c>
      <c r="F721" s="89" t="s">
        <v>857</v>
      </c>
      <c r="G721" s="89" t="s">
        <v>1934</v>
      </c>
      <c r="H721" s="93" t="s">
        <v>1935</v>
      </c>
    </row>
    <row r="722" spans="2:8" x14ac:dyDescent="0.25">
      <c r="B722" s="89" t="s">
        <v>80</v>
      </c>
      <c r="C722" s="89" t="s">
        <v>81</v>
      </c>
      <c r="D722" s="89" t="s">
        <v>32</v>
      </c>
      <c r="E722" s="89" t="s">
        <v>855</v>
      </c>
      <c r="F722" s="89" t="s">
        <v>857</v>
      </c>
      <c r="G722" s="89" t="s">
        <v>1936</v>
      </c>
      <c r="H722" s="93" t="s">
        <v>1937</v>
      </c>
    </row>
    <row r="723" spans="2:8" x14ac:dyDescent="0.25">
      <c r="B723" s="89" t="s">
        <v>80</v>
      </c>
      <c r="C723" s="89" t="s">
        <v>81</v>
      </c>
      <c r="D723" s="89" t="s">
        <v>32</v>
      </c>
      <c r="E723" s="89" t="s">
        <v>855</v>
      </c>
      <c r="F723" s="89" t="s">
        <v>857</v>
      </c>
      <c r="G723" s="89" t="s">
        <v>1938</v>
      </c>
      <c r="H723" s="93" t="s">
        <v>1939</v>
      </c>
    </row>
    <row r="724" spans="2:8" x14ac:dyDescent="0.25">
      <c r="B724" s="89" t="s">
        <v>80</v>
      </c>
      <c r="C724" s="89" t="s">
        <v>81</v>
      </c>
      <c r="D724" s="89" t="s">
        <v>32</v>
      </c>
      <c r="E724" s="89" t="s">
        <v>855</v>
      </c>
      <c r="F724" s="89" t="s">
        <v>857</v>
      </c>
      <c r="G724" s="89" t="s">
        <v>1940</v>
      </c>
      <c r="H724" s="93" t="s">
        <v>1941</v>
      </c>
    </row>
    <row r="725" spans="2:8" x14ac:dyDescent="0.25">
      <c r="B725" s="89" t="s">
        <v>80</v>
      </c>
      <c r="C725" s="89" t="s">
        <v>81</v>
      </c>
      <c r="D725" s="89" t="s">
        <v>32</v>
      </c>
      <c r="E725" s="89" t="s">
        <v>855</v>
      </c>
      <c r="F725" s="89" t="s">
        <v>857</v>
      </c>
      <c r="G725" s="89" t="s">
        <v>1942</v>
      </c>
      <c r="H725" s="93" t="s">
        <v>1943</v>
      </c>
    </row>
    <row r="726" spans="2:8" x14ac:dyDescent="0.25">
      <c r="B726" s="89" t="s">
        <v>80</v>
      </c>
      <c r="C726" s="89" t="s">
        <v>81</v>
      </c>
      <c r="D726" s="89" t="s">
        <v>32</v>
      </c>
      <c r="E726" s="89" t="s">
        <v>855</v>
      </c>
      <c r="F726" s="89" t="s">
        <v>857</v>
      </c>
      <c r="G726" s="89" t="s">
        <v>1944</v>
      </c>
      <c r="H726" s="93" t="s">
        <v>1945</v>
      </c>
    </row>
    <row r="727" spans="2:8" x14ac:dyDescent="0.25">
      <c r="B727" s="89" t="s">
        <v>80</v>
      </c>
      <c r="C727" s="89" t="s">
        <v>81</v>
      </c>
      <c r="D727" s="89" t="s">
        <v>32</v>
      </c>
      <c r="E727" s="89" t="s">
        <v>855</v>
      </c>
      <c r="F727" s="89" t="s">
        <v>857</v>
      </c>
      <c r="G727" s="89" t="s">
        <v>1946</v>
      </c>
      <c r="H727" s="93" t="s">
        <v>1947</v>
      </c>
    </row>
    <row r="728" spans="2:8" x14ac:dyDescent="0.25">
      <c r="B728" s="89" t="s">
        <v>80</v>
      </c>
      <c r="C728" s="89" t="s">
        <v>81</v>
      </c>
      <c r="D728" s="89" t="s">
        <v>32</v>
      </c>
      <c r="E728" s="89" t="s">
        <v>855</v>
      </c>
      <c r="F728" s="89" t="s">
        <v>857</v>
      </c>
      <c r="G728" s="89" t="s">
        <v>1948</v>
      </c>
      <c r="H728" s="93" t="s">
        <v>1949</v>
      </c>
    </row>
    <row r="729" spans="2:8" x14ac:dyDescent="0.25">
      <c r="B729" s="89" t="s">
        <v>80</v>
      </c>
      <c r="C729" s="89" t="s">
        <v>81</v>
      </c>
      <c r="D729" s="89" t="s">
        <v>32</v>
      </c>
      <c r="E729" s="89" t="s">
        <v>855</v>
      </c>
      <c r="F729" s="89" t="s">
        <v>857</v>
      </c>
      <c r="G729" s="89" t="s">
        <v>1950</v>
      </c>
      <c r="H729" s="93" t="s">
        <v>1951</v>
      </c>
    </row>
    <row r="730" spans="2:8" x14ac:dyDescent="0.25">
      <c r="B730" s="89" t="s">
        <v>80</v>
      </c>
      <c r="C730" s="89" t="s">
        <v>81</v>
      </c>
      <c r="D730" s="89" t="s">
        <v>32</v>
      </c>
      <c r="E730" s="89" t="s">
        <v>855</v>
      </c>
      <c r="F730" s="89" t="s">
        <v>857</v>
      </c>
      <c r="G730" s="89" t="s">
        <v>1952</v>
      </c>
      <c r="H730" s="93" t="s">
        <v>1953</v>
      </c>
    </row>
    <row r="731" spans="2:8" x14ac:dyDescent="0.25">
      <c r="B731" s="89" t="s">
        <v>80</v>
      </c>
      <c r="C731" s="89" t="s">
        <v>81</v>
      </c>
      <c r="D731" s="89" t="s">
        <v>32</v>
      </c>
      <c r="E731" s="89" t="s">
        <v>855</v>
      </c>
      <c r="F731" s="89" t="s">
        <v>857</v>
      </c>
      <c r="G731" s="89" t="s">
        <v>1954</v>
      </c>
      <c r="H731" s="93" t="s">
        <v>1955</v>
      </c>
    </row>
    <row r="732" spans="2:8" x14ac:dyDescent="0.25">
      <c r="B732" s="89" t="s">
        <v>80</v>
      </c>
      <c r="C732" s="89" t="s">
        <v>81</v>
      </c>
      <c r="D732" s="89" t="s">
        <v>32</v>
      </c>
      <c r="E732" s="89" t="s">
        <v>855</v>
      </c>
      <c r="F732" s="89" t="s">
        <v>857</v>
      </c>
      <c r="G732" s="89" t="s">
        <v>1956</v>
      </c>
      <c r="H732" s="93" t="s">
        <v>1957</v>
      </c>
    </row>
    <row r="733" spans="2:8" x14ac:dyDescent="0.25">
      <c r="B733" s="89" t="s">
        <v>80</v>
      </c>
      <c r="C733" s="89" t="s">
        <v>81</v>
      </c>
      <c r="D733" s="89" t="s">
        <v>32</v>
      </c>
      <c r="E733" s="89" t="s">
        <v>855</v>
      </c>
      <c r="F733" s="89" t="s">
        <v>857</v>
      </c>
      <c r="G733" s="89" t="s">
        <v>670</v>
      </c>
      <c r="H733" s="93" t="s">
        <v>671</v>
      </c>
    </row>
    <row r="734" spans="2:8" x14ac:dyDescent="0.25">
      <c r="B734" s="89" t="s">
        <v>80</v>
      </c>
      <c r="C734" s="89" t="s">
        <v>81</v>
      </c>
      <c r="D734" s="89" t="s">
        <v>32</v>
      </c>
      <c r="E734" s="89" t="s">
        <v>855</v>
      </c>
      <c r="F734" s="89" t="s">
        <v>857</v>
      </c>
      <c r="G734" s="89" t="s">
        <v>1958</v>
      </c>
      <c r="H734" s="93" t="s">
        <v>1959</v>
      </c>
    </row>
    <row r="735" spans="2:8" x14ac:dyDescent="0.25">
      <c r="B735" s="89" t="s">
        <v>80</v>
      </c>
      <c r="C735" s="89" t="s">
        <v>81</v>
      </c>
      <c r="D735" s="89" t="s">
        <v>32</v>
      </c>
      <c r="E735" s="89" t="s">
        <v>855</v>
      </c>
      <c r="F735" s="89" t="s">
        <v>857</v>
      </c>
      <c r="G735" s="89" t="s">
        <v>1960</v>
      </c>
      <c r="H735" s="93" t="s">
        <v>682</v>
      </c>
    </row>
    <row r="736" spans="2:8" x14ac:dyDescent="0.25">
      <c r="B736" s="89" t="s">
        <v>80</v>
      </c>
      <c r="C736" s="89" t="s">
        <v>81</v>
      </c>
      <c r="D736" s="89" t="s">
        <v>32</v>
      </c>
      <c r="E736" s="89" t="s">
        <v>855</v>
      </c>
      <c r="F736" s="89" t="s">
        <v>857</v>
      </c>
      <c r="G736" s="89" t="s">
        <v>1961</v>
      </c>
      <c r="H736" s="93" t="s">
        <v>1962</v>
      </c>
    </row>
    <row r="737" spans="2:8" x14ac:dyDescent="0.25">
      <c r="B737" s="89" t="s">
        <v>80</v>
      </c>
      <c r="C737" s="89" t="s">
        <v>81</v>
      </c>
      <c r="D737" s="89" t="s">
        <v>32</v>
      </c>
      <c r="E737" s="89" t="s">
        <v>855</v>
      </c>
      <c r="F737" s="89" t="s">
        <v>857</v>
      </c>
      <c r="G737" s="89" t="s">
        <v>1963</v>
      </c>
      <c r="H737" s="93" t="s">
        <v>1964</v>
      </c>
    </row>
    <row r="738" spans="2:8" x14ac:dyDescent="0.25">
      <c r="B738" s="89" t="s">
        <v>80</v>
      </c>
      <c r="C738" s="89" t="s">
        <v>81</v>
      </c>
      <c r="D738" s="89" t="s">
        <v>32</v>
      </c>
      <c r="E738" s="89" t="s">
        <v>855</v>
      </c>
      <c r="F738" s="89" t="s">
        <v>857</v>
      </c>
      <c r="G738" s="89" t="s">
        <v>1965</v>
      </c>
      <c r="H738" s="93" t="s">
        <v>1966</v>
      </c>
    </row>
    <row r="739" spans="2:8" x14ac:dyDescent="0.25">
      <c r="B739" s="89" t="s">
        <v>80</v>
      </c>
      <c r="C739" s="89" t="s">
        <v>81</v>
      </c>
      <c r="D739" s="89" t="s">
        <v>32</v>
      </c>
      <c r="E739" s="89" t="s">
        <v>855</v>
      </c>
      <c r="F739" s="89" t="s">
        <v>857</v>
      </c>
      <c r="G739" s="89" t="s">
        <v>675</v>
      </c>
      <c r="H739" s="93" t="s">
        <v>676</v>
      </c>
    </row>
    <row r="740" spans="2:8" x14ac:dyDescent="0.25">
      <c r="B740" s="89" t="s">
        <v>80</v>
      </c>
      <c r="C740" s="89" t="s">
        <v>81</v>
      </c>
      <c r="D740" s="89" t="s">
        <v>32</v>
      </c>
      <c r="E740" s="89" t="s">
        <v>855</v>
      </c>
      <c r="F740" s="89" t="s">
        <v>857</v>
      </c>
      <c r="G740" s="89" t="s">
        <v>1967</v>
      </c>
      <c r="H740" s="93" t="s">
        <v>1968</v>
      </c>
    </row>
    <row r="741" spans="2:8" x14ac:dyDescent="0.25">
      <c r="B741" s="89" t="s">
        <v>80</v>
      </c>
      <c r="C741" s="89" t="s">
        <v>81</v>
      </c>
      <c r="D741" s="89" t="s">
        <v>32</v>
      </c>
      <c r="E741" s="89" t="s">
        <v>855</v>
      </c>
      <c r="F741" s="89" t="s">
        <v>857</v>
      </c>
      <c r="G741" s="89" t="s">
        <v>1969</v>
      </c>
      <c r="H741" s="93" t="s">
        <v>1970</v>
      </c>
    </row>
    <row r="742" spans="2:8" x14ac:dyDescent="0.25">
      <c r="B742" s="89" t="s">
        <v>80</v>
      </c>
      <c r="C742" s="89" t="s">
        <v>81</v>
      </c>
      <c r="D742" s="89" t="s">
        <v>32</v>
      </c>
      <c r="E742" s="89" t="s">
        <v>855</v>
      </c>
      <c r="F742" s="89" t="s">
        <v>857</v>
      </c>
      <c r="G742" s="89" t="s">
        <v>1971</v>
      </c>
      <c r="H742" s="93" t="s">
        <v>1972</v>
      </c>
    </row>
    <row r="743" spans="2:8" x14ac:dyDescent="0.25">
      <c r="B743" s="89" t="s">
        <v>80</v>
      </c>
      <c r="C743" s="89" t="s">
        <v>81</v>
      </c>
      <c r="D743" s="89" t="s">
        <v>32</v>
      </c>
      <c r="E743" s="89" t="s">
        <v>855</v>
      </c>
      <c r="F743" s="89" t="s">
        <v>857</v>
      </c>
      <c r="G743" s="89" t="s">
        <v>1973</v>
      </c>
      <c r="H743" s="93" t="s">
        <v>1974</v>
      </c>
    </row>
    <row r="744" spans="2:8" x14ac:dyDescent="0.25">
      <c r="B744" s="89" t="s">
        <v>80</v>
      </c>
      <c r="C744" s="89" t="s">
        <v>81</v>
      </c>
      <c r="D744" s="89" t="s">
        <v>32</v>
      </c>
      <c r="E744" s="89" t="s">
        <v>855</v>
      </c>
      <c r="F744" s="89" t="s">
        <v>857</v>
      </c>
      <c r="G744" s="89" t="s">
        <v>1975</v>
      </c>
      <c r="H744" s="93" t="s">
        <v>1976</v>
      </c>
    </row>
    <row r="745" spans="2:8" x14ac:dyDescent="0.25">
      <c r="B745" s="89" t="s">
        <v>80</v>
      </c>
      <c r="C745" s="89" t="s">
        <v>81</v>
      </c>
      <c r="D745" s="89" t="s">
        <v>32</v>
      </c>
      <c r="E745" s="89" t="s">
        <v>855</v>
      </c>
      <c r="F745" s="89" t="s">
        <v>857</v>
      </c>
      <c r="G745" s="89" t="s">
        <v>1977</v>
      </c>
      <c r="H745" s="93" t="s">
        <v>1978</v>
      </c>
    </row>
    <row r="746" spans="2:8" x14ac:dyDescent="0.25">
      <c r="B746" s="89" t="s">
        <v>80</v>
      </c>
      <c r="C746" s="89" t="s">
        <v>81</v>
      </c>
      <c r="D746" s="89" t="s">
        <v>32</v>
      </c>
      <c r="E746" s="89" t="s">
        <v>855</v>
      </c>
      <c r="F746" s="89" t="s">
        <v>857</v>
      </c>
      <c r="G746" s="89" t="s">
        <v>1979</v>
      </c>
      <c r="H746" s="93" t="s">
        <v>1980</v>
      </c>
    </row>
    <row r="747" spans="2:8" x14ac:dyDescent="0.25">
      <c r="B747" s="89" t="s">
        <v>80</v>
      </c>
      <c r="C747" s="89" t="s">
        <v>81</v>
      </c>
      <c r="D747" s="89" t="s">
        <v>32</v>
      </c>
      <c r="E747" s="89" t="s">
        <v>855</v>
      </c>
      <c r="F747" s="89" t="s">
        <v>857</v>
      </c>
      <c r="G747" s="89" t="s">
        <v>1981</v>
      </c>
      <c r="H747" s="93" t="s">
        <v>1982</v>
      </c>
    </row>
    <row r="748" spans="2:8" x14ac:dyDescent="0.25">
      <c r="B748" s="89" t="s">
        <v>80</v>
      </c>
      <c r="C748" s="89" t="s">
        <v>81</v>
      </c>
      <c r="D748" s="89" t="s">
        <v>32</v>
      </c>
      <c r="E748" s="89" t="s">
        <v>855</v>
      </c>
      <c r="F748" s="89" t="s">
        <v>857</v>
      </c>
      <c r="G748" s="89" t="s">
        <v>1983</v>
      </c>
      <c r="H748" s="93" t="s">
        <v>1984</v>
      </c>
    </row>
    <row r="749" spans="2:8" x14ac:dyDescent="0.25">
      <c r="B749" s="89" t="s">
        <v>80</v>
      </c>
      <c r="C749" s="89" t="s">
        <v>81</v>
      </c>
      <c r="D749" s="89" t="s">
        <v>32</v>
      </c>
      <c r="E749" s="89" t="s">
        <v>855</v>
      </c>
      <c r="F749" s="89" t="s">
        <v>857</v>
      </c>
      <c r="G749" s="89" t="s">
        <v>1985</v>
      </c>
      <c r="H749" s="93" t="s">
        <v>1986</v>
      </c>
    </row>
    <row r="750" spans="2:8" x14ac:dyDescent="0.25">
      <c r="B750" s="89" t="s">
        <v>80</v>
      </c>
      <c r="C750" s="89" t="s">
        <v>81</v>
      </c>
      <c r="D750" s="89" t="s">
        <v>32</v>
      </c>
      <c r="E750" s="89" t="s">
        <v>855</v>
      </c>
      <c r="F750" s="89" t="s">
        <v>857</v>
      </c>
      <c r="G750" s="89" t="s">
        <v>1987</v>
      </c>
      <c r="H750" s="93" t="s">
        <v>1988</v>
      </c>
    </row>
    <row r="751" spans="2:8" x14ac:dyDescent="0.25">
      <c r="B751" s="89" t="s">
        <v>80</v>
      </c>
      <c r="C751" s="89" t="s">
        <v>81</v>
      </c>
      <c r="D751" s="89" t="s">
        <v>32</v>
      </c>
      <c r="E751" s="89" t="s">
        <v>855</v>
      </c>
      <c r="F751" s="89" t="s">
        <v>857</v>
      </c>
      <c r="G751" s="89" t="s">
        <v>1989</v>
      </c>
      <c r="H751" s="93" t="s">
        <v>1990</v>
      </c>
    </row>
    <row r="752" spans="2:8" x14ac:dyDescent="0.25">
      <c r="B752" s="89" t="s">
        <v>80</v>
      </c>
      <c r="C752" s="89" t="s">
        <v>81</v>
      </c>
      <c r="D752" s="89" t="s">
        <v>32</v>
      </c>
      <c r="E752" s="89" t="s">
        <v>855</v>
      </c>
      <c r="F752" s="89" t="s">
        <v>857</v>
      </c>
      <c r="G752" s="89" t="s">
        <v>1991</v>
      </c>
      <c r="H752" s="93" t="s">
        <v>1992</v>
      </c>
    </row>
    <row r="753" spans="2:8" x14ac:dyDescent="0.25">
      <c r="B753" s="89" t="s">
        <v>80</v>
      </c>
      <c r="C753" s="89" t="s">
        <v>81</v>
      </c>
      <c r="D753" s="89" t="s">
        <v>32</v>
      </c>
      <c r="E753" s="89" t="s">
        <v>855</v>
      </c>
      <c r="F753" s="89" t="s">
        <v>857</v>
      </c>
      <c r="G753" s="89" t="s">
        <v>1993</v>
      </c>
      <c r="H753" s="93" t="s">
        <v>1994</v>
      </c>
    </row>
    <row r="754" spans="2:8" x14ac:dyDescent="0.25">
      <c r="B754" s="89" t="s">
        <v>80</v>
      </c>
      <c r="C754" s="89" t="s">
        <v>81</v>
      </c>
      <c r="D754" s="89" t="s">
        <v>32</v>
      </c>
      <c r="E754" s="89" t="s">
        <v>855</v>
      </c>
      <c r="F754" s="89" t="s">
        <v>857</v>
      </c>
      <c r="G754" s="89" t="s">
        <v>1995</v>
      </c>
      <c r="H754" s="93" t="s">
        <v>1996</v>
      </c>
    </row>
    <row r="755" spans="2:8" x14ac:dyDescent="0.25">
      <c r="B755" s="89" t="s">
        <v>80</v>
      </c>
      <c r="C755" s="89" t="s">
        <v>81</v>
      </c>
      <c r="D755" s="89" t="s">
        <v>32</v>
      </c>
      <c r="E755" s="89" t="s">
        <v>855</v>
      </c>
      <c r="F755" s="89" t="s">
        <v>857</v>
      </c>
      <c r="G755" s="89" t="s">
        <v>1997</v>
      </c>
      <c r="H755" s="93" t="s">
        <v>1998</v>
      </c>
    </row>
    <row r="756" spans="2:8" x14ac:dyDescent="0.25">
      <c r="B756" s="89" t="s">
        <v>80</v>
      </c>
      <c r="C756" s="89" t="s">
        <v>81</v>
      </c>
      <c r="D756" s="89" t="s">
        <v>32</v>
      </c>
      <c r="E756" s="89" t="s">
        <v>855</v>
      </c>
      <c r="F756" s="89" t="s">
        <v>857</v>
      </c>
      <c r="G756" s="89" t="s">
        <v>1999</v>
      </c>
      <c r="H756" s="93" t="s">
        <v>2000</v>
      </c>
    </row>
    <row r="757" spans="2:8" x14ac:dyDescent="0.25">
      <c r="B757" s="89" t="s">
        <v>80</v>
      </c>
      <c r="C757" s="89" t="s">
        <v>81</v>
      </c>
      <c r="D757" s="89" t="s">
        <v>32</v>
      </c>
      <c r="E757" s="89" t="s">
        <v>855</v>
      </c>
      <c r="F757" s="89" t="s">
        <v>857</v>
      </c>
      <c r="G757" s="89" t="s">
        <v>857</v>
      </c>
      <c r="H757" s="93" t="s">
        <v>2001</v>
      </c>
    </row>
    <row r="758" spans="2:8" x14ac:dyDescent="0.25">
      <c r="B758" s="89" t="s">
        <v>80</v>
      </c>
      <c r="C758" s="89" t="s">
        <v>81</v>
      </c>
      <c r="D758" s="89" t="s">
        <v>32</v>
      </c>
      <c r="E758" s="89" t="s">
        <v>855</v>
      </c>
      <c r="F758" s="89" t="s">
        <v>857</v>
      </c>
      <c r="G758" s="89" t="s">
        <v>2002</v>
      </c>
      <c r="H758" s="93" t="s">
        <v>2003</v>
      </c>
    </row>
    <row r="759" spans="2:8" x14ac:dyDescent="0.25">
      <c r="B759" s="89" t="s">
        <v>80</v>
      </c>
      <c r="C759" s="89" t="s">
        <v>81</v>
      </c>
      <c r="D759" s="89" t="s">
        <v>32</v>
      </c>
      <c r="E759" s="89" t="s">
        <v>855</v>
      </c>
      <c r="F759" s="89" t="s">
        <v>857</v>
      </c>
      <c r="G759" s="89" t="s">
        <v>2004</v>
      </c>
      <c r="H759" s="93" t="s">
        <v>2005</v>
      </c>
    </row>
    <row r="760" spans="2:8" x14ac:dyDescent="0.25">
      <c r="B760" s="89" t="s">
        <v>80</v>
      </c>
      <c r="C760" s="89" t="s">
        <v>81</v>
      </c>
      <c r="D760" s="89" t="s">
        <v>32</v>
      </c>
      <c r="E760" s="89" t="s">
        <v>855</v>
      </c>
      <c r="F760" s="89" t="s">
        <v>857</v>
      </c>
      <c r="G760" s="89" t="s">
        <v>2006</v>
      </c>
      <c r="H760" s="93" t="s">
        <v>2007</v>
      </c>
    </row>
    <row r="761" spans="2:8" x14ac:dyDescent="0.25">
      <c r="B761" s="89" t="s">
        <v>80</v>
      </c>
      <c r="C761" s="89" t="s">
        <v>81</v>
      </c>
      <c r="D761" s="89" t="s">
        <v>32</v>
      </c>
      <c r="E761" s="89" t="s">
        <v>855</v>
      </c>
      <c r="F761" s="89" t="s">
        <v>857</v>
      </c>
      <c r="G761" s="89" t="s">
        <v>2008</v>
      </c>
      <c r="H761" s="93" t="s">
        <v>2009</v>
      </c>
    </row>
    <row r="762" spans="2:8" x14ac:dyDescent="0.25">
      <c r="B762" s="89" t="s">
        <v>80</v>
      </c>
      <c r="C762" s="89" t="s">
        <v>81</v>
      </c>
      <c r="D762" s="89" t="s">
        <v>32</v>
      </c>
      <c r="E762" s="89" t="s">
        <v>855</v>
      </c>
      <c r="F762" s="89" t="s">
        <v>857</v>
      </c>
      <c r="G762" s="89" t="s">
        <v>2010</v>
      </c>
      <c r="H762" s="93" t="s">
        <v>2011</v>
      </c>
    </row>
    <row r="763" spans="2:8" x14ac:dyDescent="0.25">
      <c r="B763" s="89" t="s">
        <v>80</v>
      </c>
      <c r="C763" s="89" t="s">
        <v>81</v>
      </c>
      <c r="D763" s="89" t="s">
        <v>32</v>
      </c>
      <c r="E763" s="89" t="s">
        <v>855</v>
      </c>
      <c r="F763" s="89" t="s">
        <v>857</v>
      </c>
      <c r="G763" s="89" t="s">
        <v>2012</v>
      </c>
      <c r="H763" s="93" t="s">
        <v>2013</v>
      </c>
    </row>
    <row r="764" spans="2:8" x14ac:dyDescent="0.25">
      <c r="B764" s="89" t="s">
        <v>80</v>
      </c>
      <c r="C764" s="89" t="s">
        <v>81</v>
      </c>
      <c r="D764" s="89" t="s">
        <v>32</v>
      </c>
      <c r="E764" s="89" t="s">
        <v>855</v>
      </c>
      <c r="F764" s="89" t="s">
        <v>857</v>
      </c>
      <c r="G764" s="89" t="s">
        <v>2014</v>
      </c>
      <c r="H764" s="93" t="s">
        <v>2015</v>
      </c>
    </row>
    <row r="765" spans="2:8" x14ac:dyDescent="0.25">
      <c r="B765" s="89" t="s">
        <v>80</v>
      </c>
      <c r="C765" s="89" t="s">
        <v>81</v>
      </c>
      <c r="D765" s="89" t="s">
        <v>32</v>
      </c>
      <c r="E765" s="89" t="s">
        <v>855</v>
      </c>
      <c r="F765" s="89" t="s">
        <v>857</v>
      </c>
      <c r="G765" s="89" t="s">
        <v>857</v>
      </c>
      <c r="H765" s="93" t="s">
        <v>2016</v>
      </c>
    </row>
    <row r="766" spans="2:8" x14ac:dyDescent="0.25">
      <c r="B766" s="89" t="s">
        <v>80</v>
      </c>
      <c r="C766" s="89" t="s">
        <v>81</v>
      </c>
      <c r="D766" s="89" t="s">
        <v>32</v>
      </c>
      <c r="E766" s="89" t="s">
        <v>855</v>
      </c>
      <c r="F766" s="89" t="s">
        <v>857</v>
      </c>
      <c r="G766" s="89" t="s">
        <v>857</v>
      </c>
      <c r="H766" s="93" t="s">
        <v>2017</v>
      </c>
    </row>
    <row r="767" spans="2:8" x14ac:dyDescent="0.25">
      <c r="B767" s="89" t="s">
        <v>80</v>
      </c>
      <c r="C767" s="89" t="s">
        <v>81</v>
      </c>
      <c r="D767" s="89" t="s">
        <v>32</v>
      </c>
      <c r="E767" s="89" t="s">
        <v>855</v>
      </c>
      <c r="F767" s="89" t="s">
        <v>857</v>
      </c>
      <c r="G767" s="89" t="s">
        <v>2018</v>
      </c>
      <c r="H767" s="93" t="s">
        <v>2019</v>
      </c>
    </row>
    <row r="768" spans="2:8" x14ac:dyDescent="0.25">
      <c r="B768" s="89" t="s">
        <v>80</v>
      </c>
      <c r="C768" s="89" t="s">
        <v>81</v>
      </c>
      <c r="D768" s="89" t="s">
        <v>32</v>
      </c>
      <c r="E768" s="89" t="s">
        <v>855</v>
      </c>
      <c r="F768" s="89" t="s">
        <v>857</v>
      </c>
      <c r="G768" s="89" t="s">
        <v>2020</v>
      </c>
      <c r="H768" s="93" t="s">
        <v>2021</v>
      </c>
    </row>
    <row r="769" spans="2:8" x14ac:dyDescent="0.25">
      <c r="B769" s="89" t="s">
        <v>80</v>
      </c>
      <c r="C769" s="89" t="s">
        <v>81</v>
      </c>
      <c r="D769" s="89" t="s">
        <v>32</v>
      </c>
      <c r="E769" s="89" t="s">
        <v>855</v>
      </c>
      <c r="F769" s="89" t="s">
        <v>858</v>
      </c>
      <c r="G769" s="89" t="s">
        <v>666</v>
      </c>
      <c r="H769" s="93" t="s">
        <v>667</v>
      </c>
    </row>
    <row r="770" spans="2:8" x14ac:dyDescent="0.25">
      <c r="B770" s="89" t="s">
        <v>80</v>
      </c>
      <c r="C770" s="89" t="s">
        <v>81</v>
      </c>
      <c r="D770" s="89" t="s">
        <v>32</v>
      </c>
      <c r="E770" s="89" t="s">
        <v>855</v>
      </c>
      <c r="F770" s="89" t="s">
        <v>858</v>
      </c>
      <c r="G770" s="89" t="s">
        <v>668</v>
      </c>
      <c r="H770" s="93" t="s">
        <v>669</v>
      </c>
    </row>
    <row r="771" spans="2:8" x14ac:dyDescent="0.25">
      <c r="B771" s="89" t="s">
        <v>80</v>
      </c>
      <c r="C771" s="89" t="s">
        <v>81</v>
      </c>
      <c r="D771" s="89" t="s">
        <v>32</v>
      </c>
      <c r="E771" s="89" t="s">
        <v>855</v>
      </c>
      <c r="F771" s="89" t="s">
        <v>858</v>
      </c>
      <c r="G771" s="89" t="s">
        <v>2022</v>
      </c>
      <c r="H771" s="93" t="s">
        <v>2023</v>
      </c>
    </row>
    <row r="772" spans="2:8" x14ac:dyDescent="0.25">
      <c r="B772" s="89" t="s">
        <v>80</v>
      </c>
      <c r="C772" s="89" t="s">
        <v>81</v>
      </c>
      <c r="D772" s="89" t="s">
        <v>32</v>
      </c>
      <c r="E772" s="89" t="s">
        <v>855</v>
      </c>
      <c r="F772" s="89" t="s">
        <v>858</v>
      </c>
      <c r="G772" s="89" t="s">
        <v>687</v>
      </c>
      <c r="H772" s="93" t="s">
        <v>688</v>
      </c>
    </row>
    <row r="773" spans="2:8" x14ac:dyDescent="0.25">
      <c r="B773" s="89" t="s">
        <v>80</v>
      </c>
      <c r="C773" s="89" t="s">
        <v>81</v>
      </c>
      <c r="D773" s="89" t="s">
        <v>32</v>
      </c>
      <c r="E773" s="89" t="s">
        <v>855</v>
      </c>
      <c r="F773" s="89" t="s">
        <v>858</v>
      </c>
      <c r="G773" s="89" t="s">
        <v>2024</v>
      </c>
      <c r="H773" s="93" t="s">
        <v>2025</v>
      </c>
    </row>
    <row r="774" spans="2:8" x14ac:dyDescent="0.25">
      <c r="B774" s="89" t="s">
        <v>80</v>
      </c>
      <c r="C774" s="89" t="s">
        <v>81</v>
      </c>
      <c r="D774" s="89" t="s">
        <v>32</v>
      </c>
      <c r="E774" s="89" t="s">
        <v>855</v>
      </c>
      <c r="F774" s="89" t="s">
        <v>858</v>
      </c>
      <c r="G774" s="89" t="s">
        <v>2026</v>
      </c>
      <c r="H774" s="93" t="s">
        <v>2027</v>
      </c>
    </row>
    <row r="775" spans="2:8" x14ac:dyDescent="0.25">
      <c r="B775" s="89" t="s">
        <v>80</v>
      </c>
      <c r="C775" s="89" t="s">
        <v>81</v>
      </c>
      <c r="D775" s="89" t="s">
        <v>32</v>
      </c>
      <c r="E775" s="89" t="s">
        <v>855</v>
      </c>
      <c r="F775" s="89" t="s">
        <v>859</v>
      </c>
      <c r="G775" s="89" t="s">
        <v>2028</v>
      </c>
      <c r="H775" s="93" t="s">
        <v>2029</v>
      </c>
    </row>
    <row r="776" spans="2:8" x14ac:dyDescent="0.25">
      <c r="B776" s="89" t="s">
        <v>80</v>
      </c>
      <c r="C776" s="89" t="s">
        <v>81</v>
      </c>
      <c r="D776" s="89" t="s">
        <v>32</v>
      </c>
      <c r="E776" s="89" t="s">
        <v>855</v>
      </c>
      <c r="F776" s="89" t="s">
        <v>859</v>
      </c>
      <c r="G776" s="89" t="s">
        <v>699</v>
      </c>
      <c r="H776" s="93" t="s">
        <v>700</v>
      </c>
    </row>
    <row r="777" spans="2:8" x14ac:dyDescent="0.25">
      <c r="B777" s="89" t="s">
        <v>80</v>
      </c>
      <c r="C777" s="89" t="s">
        <v>81</v>
      </c>
      <c r="D777" s="89" t="s">
        <v>32</v>
      </c>
      <c r="E777" s="89" t="s">
        <v>855</v>
      </c>
      <c r="F777" s="89" t="s">
        <v>859</v>
      </c>
      <c r="G777" s="89" t="s">
        <v>2030</v>
      </c>
      <c r="H777" s="93" t="s">
        <v>2031</v>
      </c>
    </row>
    <row r="778" spans="2:8" x14ac:dyDescent="0.25">
      <c r="B778" s="89" t="s">
        <v>80</v>
      </c>
      <c r="C778" s="89" t="s">
        <v>81</v>
      </c>
      <c r="D778" s="89" t="s">
        <v>32</v>
      </c>
      <c r="E778" s="89" t="s">
        <v>855</v>
      </c>
      <c r="F778" s="89" t="s">
        <v>859</v>
      </c>
      <c r="G778" s="89" t="s">
        <v>697</v>
      </c>
      <c r="H778" s="93" t="s">
        <v>698</v>
      </c>
    </row>
    <row r="779" spans="2:8" x14ac:dyDescent="0.25">
      <c r="B779" s="89" t="s">
        <v>80</v>
      </c>
      <c r="C779" s="89" t="s">
        <v>81</v>
      </c>
      <c r="D779" s="89" t="s">
        <v>32</v>
      </c>
      <c r="E779" s="89" t="s">
        <v>855</v>
      </c>
      <c r="F779" s="89" t="s">
        <v>859</v>
      </c>
      <c r="G779" s="89" t="s">
        <v>2032</v>
      </c>
      <c r="H779" s="93" t="s">
        <v>2033</v>
      </c>
    </row>
    <row r="780" spans="2:8" x14ac:dyDescent="0.25">
      <c r="B780" s="89" t="s">
        <v>80</v>
      </c>
      <c r="C780" s="89" t="s">
        <v>81</v>
      </c>
      <c r="D780" s="89" t="s">
        <v>32</v>
      </c>
      <c r="E780" s="89" t="s">
        <v>855</v>
      </c>
      <c r="F780" s="89" t="s">
        <v>859</v>
      </c>
      <c r="G780" s="89" t="s">
        <v>2034</v>
      </c>
      <c r="H780" s="93" t="s">
        <v>2035</v>
      </c>
    </row>
    <row r="781" spans="2:8" x14ac:dyDescent="0.25">
      <c r="B781" s="89" t="s">
        <v>80</v>
      </c>
      <c r="C781" s="89" t="s">
        <v>81</v>
      </c>
      <c r="D781" s="89" t="s">
        <v>32</v>
      </c>
      <c r="E781" s="89" t="s">
        <v>855</v>
      </c>
      <c r="F781" s="89" t="s">
        <v>859</v>
      </c>
      <c r="G781" s="89" t="s">
        <v>2036</v>
      </c>
      <c r="H781" s="93" t="s">
        <v>2037</v>
      </c>
    </row>
    <row r="782" spans="2:8" x14ac:dyDescent="0.25">
      <c r="B782" s="89" t="s">
        <v>80</v>
      </c>
      <c r="C782" s="89" t="s">
        <v>81</v>
      </c>
      <c r="D782" s="89" t="s">
        <v>32</v>
      </c>
      <c r="E782" s="89" t="s">
        <v>855</v>
      </c>
      <c r="F782" s="89" t="s">
        <v>859</v>
      </c>
      <c r="G782" s="89" t="s">
        <v>693</v>
      </c>
      <c r="H782" s="93" t="s">
        <v>694</v>
      </c>
    </row>
    <row r="783" spans="2:8" x14ac:dyDescent="0.25">
      <c r="B783" s="89" t="s">
        <v>80</v>
      </c>
      <c r="C783" s="89" t="s">
        <v>81</v>
      </c>
      <c r="D783" s="89" t="s">
        <v>32</v>
      </c>
      <c r="E783" s="89" t="s">
        <v>855</v>
      </c>
      <c r="F783" s="89" t="s">
        <v>859</v>
      </c>
      <c r="G783" s="89" t="s">
        <v>2038</v>
      </c>
      <c r="H783" s="93" t="s">
        <v>2039</v>
      </c>
    </row>
    <row r="784" spans="2:8" x14ac:dyDescent="0.25">
      <c r="B784" s="89" t="s">
        <v>80</v>
      </c>
      <c r="C784" s="89" t="s">
        <v>81</v>
      </c>
      <c r="D784" s="89" t="s">
        <v>32</v>
      </c>
      <c r="E784" s="89" t="s">
        <v>855</v>
      </c>
      <c r="F784" s="89" t="s">
        <v>859</v>
      </c>
      <c r="G784" s="89" t="s">
        <v>2040</v>
      </c>
      <c r="H784" s="93" t="s">
        <v>2041</v>
      </c>
    </row>
    <row r="785" spans="2:8" x14ac:dyDescent="0.25">
      <c r="B785" s="89" t="s">
        <v>80</v>
      </c>
      <c r="C785" s="89" t="s">
        <v>81</v>
      </c>
      <c r="D785" s="89" t="s">
        <v>32</v>
      </c>
      <c r="E785" s="89" t="s">
        <v>855</v>
      </c>
      <c r="F785" s="89" t="s">
        <v>859</v>
      </c>
      <c r="G785" s="89" t="s">
        <v>2042</v>
      </c>
      <c r="H785" s="93" t="s">
        <v>2043</v>
      </c>
    </row>
    <row r="786" spans="2:8" x14ac:dyDescent="0.25">
      <c r="B786" s="89" t="s">
        <v>80</v>
      </c>
      <c r="C786" s="89" t="s">
        <v>81</v>
      </c>
      <c r="D786" s="89" t="s">
        <v>32</v>
      </c>
      <c r="E786" s="89" t="s">
        <v>855</v>
      </c>
      <c r="F786" s="89" t="s">
        <v>859</v>
      </c>
      <c r="G786" s="89" t="s">
        <v>2040</v>
      </c>
      <c r="H786" s="93" t="s">
        <v>2044</v>
      </c>
    </row>
    <row r="787" spans="2:8" x14ac:dyDescent="0.25">
      <c r="B787" s="89" t="s">
        <v>80</v>
      </c>
      <c r="C787" s="89" t="s">
        <v>81</v>
      </c>
      <c r="D787" s="89" t="s">
        <v>32</v>
      </c>
      <c r="E787" s="89" t="s">
        <v>855</v>
      </c>
      <c r="F787" s="89" t="s">
        <v>859</v>
      </c>
      <c r="G787" s="89" t="s">
        <v>2045</v>
      </c>
      <c r="H787" s="93" t="s">
        <v>2046</v>
      </c>
    </row>
    <row r="788" spans="2:8" x14ac:dyDescent="0.25">
      <c r="B788" s="89" t="s">
        <v>80</v>
      </c>
      <c r="C788" s="89" t="s">
        <v>81</v>
      </c>
      <c r="D788" s="89" t="s">
        <v>32</v>
      </c>
      <c r="E788" s="89" t="s">
        <v>855</v>
      </c>
      <c r="F788" s="89" t="s">
        <v>859</v>
      </c>
      <c r="G788" s="89" t="s">
        <v>2040</v>
      </c>
      <c r="H788" s="93" t="s">
        <v>2047</v>
      </c>
    </row>
    <row r="789" spans="2:8" x14ac:dyDescent="0.25">
      <c r="B789" s="89" t="s">
        <v>80</v>
      </c>
      <c r="C789" s="89" t="s">
        <v>81</v>
      </c>
      <c r="D789" s="89" t="s">
        <v>32</v>
      </c>
      <c r="E789" s="89" t="s">
        <v>855</v>
      </c>
      <c r="F789" s="89" t="s">
        <v>859</v>
      </c>
      <c r="G789" s="89" t="s">
        <v>2048</v>
      </c>
      <c r="H789" s="93" t="s">
        <v>2049</v>
      </c>
    </row>
    <row r="790" spans="2:8" x14ac:dyDescent="0.25">
      <c r="B790" s="89" t="s">
        <v>80</v>
      </c>
      <c r="C790" s="89" t="s">
        <v>81</v>
      </c>
      <c r="D790" s="89" t="s">
        <v>32</v>
      </c>
      <c r="E790" s="89" t="s">
        <v>855</v>
      </c>
      <c r="F790" s="89" t="s">
        <v>859</v>
      </c>
      <c r="G790" s="89" t="s">
        <v>2040</v>
      </c>
      <c r="H790" s="93" t="s">
        <v>2050</v>
      </c>
    </row>
    <row r="791" spans="2:8" x14ac:dyDescent="0.25">
      <c r="B791" s="89" t="s">
        <v>80</v>
      </c>
      <c r="C791" s="89" t="s">
        <v>81</v>
      </c>
      <c r="D791" s="89" t="s">
        <v>32</v>
      </c>
      <c r="E791" s="89" t="s">
        <v>855</v>
      </c>
      <c r="F791" s="89" t="s">
        <v>859</v>
      </c>
      <c r="G791" s="89" t="s">
        <v>2040</v>
      </c>
      <c r="H791" s="93" t="s">
        <v>2051</v>
      </c>
    </row>
    <row r="792" spans="2:8" x14ac:dyDescent="0.25">
      <c r="B792" s="89" t="s">
        <v>80</v>
      </c>
      <c r="C792" s="89" t="s">
        <v>81</v>
      </c>
      <c r="D792" s="89" t="s">
        <v>32</v>
      </c>
      <c r="E792" s="89" t="s">
        <v>855</v>
      </c>
      <c r="F792" s="89" t="s">
        <v>859</v>
      </c>
      <c r="G792" s="89" t="s">
        <v>2052</v>
      </c>
      <c r="H792" s="93" t="s">
        <v>2053</v>
      </c>
    </row>
    <row r="793" spans="2:8" x14ac:dyDescent="0.25">
      <c r="B793" s="89" t="s">
        <v>80</v>
      </c>
      <c r="C793" s="89" t="s">
        <v>81</v>
      </c>
      <c r="D793" s="89" t="s">
        <v>32</v>
      </c>
      <c r="E793" s="89" t="s">
        <v>855</v>
      </c>
      <c r="F793" s="89" t="s">
        <v>859</v>
      </c>
      <c r="G793" s="89" t="s">
        <v>2054</v>
      </c>
      <c r="H793" s="93" t="s">
        <v>2055</v>
      </c>
    </row>
    <row r="794" spans="2:8" x14ac:dyDescent="0.25">
      <c r="B794" s="89" t="s">
        <v>80</v>
      </c>
      <c r="C794" s="89" t="s">
        <v>81</v>
      </c>
      <c r="D794" s="89" t="s">
        <v>32</v>
      </c>
      <c r="E794" s="89" t="s">
        <v>855</v>
      </c>
      <c r="F794" s="89" t="s">
        <v>859</v>
      </c>
      <c r="G794" s="89" t="s">
        <v>2056</v>
      </c>
      <c r="H794" s="93" t="s">
        <v>2057</v>
      </c>
    </row>
    <row r="795" spans="2:8" x14ac:dyDescent="0.25">
      <c r="B795" s="89" t="s">
        <v>80</v>
      </c>
      <c r="C795" s="89" t="s">
        <v>81</v>
      </c>
      <c r="D795" s="89" t="s">
        <v>32</v>
      </c>
      <c r="E795" s="89" t="s">
        <v>855</v>
      </c>
      <c r="F795" s="89" t="s">
        <v>859</v>
      </c>
      <c r="G795" s="89" t="s">
        <v>2058</v>
      </c>
      <c r="H795" s="93" t="s">
        <v>2059</v>
      </c>
    </row>
    <row r="796" spans="2:8" x14ac:dyDescent="0.25">
      <c r="B796" s="89" t="s">
        <v>80</v>
      </c>
      <c r="C796" s="89" t="s">
        <v>81</v>
      </c>
      <c r="D796" s="89" t="s">
        <v>32</v>
      </c>
      <c r="E796" s="89" t="s">
        <v>855</v>
      </c>
      <c r="F796" s="89" t="s">
        <v>859</v>
      </c>
      <c r="G796" s="89" t="s">
        <v>2060</v>
      </c>
      <c r="H796" s="93" t="s">
        <v>2061</v>
      </c>
    </row>
    <row r="797" spans="2:8" x14ac:dyDescent="0.25">
      <c r="B797" s="89" t="s">
        <v>80</v>
      </c>
      <c r="C797" s="89" t="s">
        <v>81</v>
      </c>
      <c r="D797" s="89" t="s">
        <v>32</v>
      </c>
      <c r="E797" s="89" t="s">
        <v>855</v>
      </c>
      <c r="F797" s="89" t="s">
        <v>859</v>
      </c>
      <c r="G797" s="89" t="s">
        <v>2062</v>
      </c>
      <c r="H797" s="93" t="s">
        <v>696</v>
      </c>
    </row>
    <row r="798" spans="2:8" x14ac:dyDescent="0.25">
      <c r="B798" s="89" t="s">
        <v>80</v>
      </c>
      <c r="C798" s="89" t="s">
        <v>81</v>
      </c>
      <c r="D798" s="89" t="s">
        <v>32</v>
      </c>
      <c r="E798" s="89" t="s">
        <v>855</v>
      </c>
      <c r="F798" s="89" t="s">
        <v>859</v>
      </c>
      <c r="G798" s="89" t="s">
        <v>2040</v>
      </c>
      <c r="H798" s="93" t="s">
        <v>2063</v>
      </c>
    </row>
    <row r="799" spans="2:8" x14ac:dyDescent="0.25">
      <c r="B799" s="89" t="s">
        <v>80</v>
      </c>
      <c r="C799" s="89" t="s">
        <v>81</v>
      </c>
      <c r="D799" s="89" t="s">
        <v>32</v>
      </c>
      <c r="E799" s="89" t="s">
        <v>855</v>
      </c>
      <c r="F799" s="89" t="s">
        <v>859</v>
      </c>
      <c r="G799" s="89" t="s">
        <v>2064</v>
      </c>
      <c r="H799" s="93" t="s">
        <v>2065</v>
      </c>
    </row>
    <row r="800" spans="2:8" x14ac:dyDescent="0.25">
      <c r="B800" s="89" t="s">
        <v>80</v>
      </c>
      <c r="C800" s="89" t="s">
        <v>81</v>
      </c>
      <c r="D800" s="89" t="s">
        <v>32</v>
      </c>
      <c r="E800" s="89" t="s">
        <v>855</v>
      </c>
      <c r="F800" s="89" t="s">
        <v>859</v>
      </c>
      <c r="G800" s="89" t="s">
        <v>2040</v>
      </c>
      <c r="H800" s="93" t="s">
        <v>2066</v>
      </c>
    </row>
    <row r="801" spans="2:8" x14ac:dyDescent="0.25">
      <c r="B801" s="89" t="s">
        <v>80</v>
      </c>
      <c r="C801" s="89" t="s">
        <v>81</v>
      </c>
      <c r="D801" s="89" t="s">
        <v>32</v>
      </c>
      <c r="E801" s="89" t="s">
        <v>855</v>
      </c>
      <c r="F801" s="89" t="s">
        <v>859</v>
      </c>
      <c r="G801" s="89" t="s">
        <v>691</v>
      </c>
      <c r="H801" s="93" t="s">
        <v>692</v>
      </c>
    </row>
    <row r="802" spans="2:8" x14ac:dyDescent="0.25">
      <c r="B802" s="89" t="s">
        <v>80</v>
      </c>
      <c r="C802" s="89" t="s">
        <v>81</v>
      </c>
      <c r="D802" s="89" t="s">
        <v>32</v>
      </c>
      <c r="E802" s="89" t="s">
        <v>855</v>
      </c>
      <c r="F802" s="89" t="s">
        <v>859</v>
      </c>
      <c r="G802" s="89" t="s">
        <v>2067</v>
      </c>
      <c r="H802" s="93" t="s">
        <v>2068</v>
      </c>
    </row>
    <row r="803" spans="2:8" x14ac:dyDescent="0.25">
      <c r="B803" s="89" t="s">
        <v>80</v>
      </c>
      <c r="C803" s="89" t="s">
        <v>81</v>
      </c>
      <c r="D803" s="89" t="s">
        <v>32</v>
      </c>
      <c r="E803" s="89" t="s">
        <v>855</v>
      </c>
      <c r="F803" s="89" t="s">
        <v>859</v>
      </c>
      <c r="G803" s="89" t="s">
        <v>2069</v>
      </c>
      <c r="H803" s="93" t="s">
        <v>690</v>
      </c>
    </row>
    <row r="804" spans="2:8" x14ac:dyDescent="0.25">
      <c r="B804" s="89" t="s">
        <v>80</v>
      </c>
      <c r="C804" s="89" t="s">
        <v>81</v>
      </c>
      <c r="D804" s="89" t="s">
        <v>32</v>
      </c>
      <c r="E804" s="89" t="s">
        <v>855</v>
      </c>
      <c r="F804" s="89" t="s">
        <v>859</v>
      </c>
      <c r="G804" s="89" t="s">
        <v>2070</v>
      </c>
      <c r="H804" s="93" t="s">
        <v>2071</v>
      </c>
    </row>
    <row r="805" spans="2:8" x14ac:dyDescent="0.25">
      <c r="B805" s="89" t="s">
        <v>80</v>
      </c>
      <c r="C805" s="89" t="s">
        <v>81</v>
      </c>
      <c r="D805" s="89" t="s">
        <v>32</v>
      </c>
      <c r="E805" s="89" t="s">
        <v>855</v>
      </c>
      <c r="F805" s="89" t="s">
        <v>859</v>
      </c>
      <c r="G805" s="89" t="s">
        <v>2072</v>
      </c>
      <c r="H805" s="93" t="s">
        <v>2073</v>
      </c>
    </row>
    <row r="806" spans="2:8" x14ac:dyDescent="0.25">
      <c r="B806" s="89" t="s">
        <v>80</v>
      </c>
      <c r="C806" s="89" t="s">
        <v>81</v>
      </c>
      <c r="D806" s="89" t="s">
        <v>32</v>
      </c>
      <c r="E806" s="89" t="s">
        <v>855</v>
      </c>
      <c r="F806" s="89" t="s">
        <v>859</v>
      </c>
      <c r="G806" s="89" t="s">
        <v>2040</v>
      </c>
      <c r="H806" s="93" t="s">
        <v>2074</v>
      </c>
    </row>
    <row r="807" spans="2:8" x14ac:dyDescent="0.25">
      <c r="B807" s="89" t="s">
        <v>80</v>
      </c>
      <c r="C807" s="89" t="s">
        <v>81</v>
      </c>
      <c r="D807" s="89" t="s">
        <v>32</v>
      </c>
      <c r="E807" s="89" t="s">
        <v>855</v>
      </c>
      <c r="F807" s="89" t="s">
        <v>859</v>
      </c>
      <c r="G807" s="89" t="s">
        <v>2075</v>
      </c>
      <c r="H807" s="93" t="s">
        <v>2076</v>
      </c>
    </row>
    <row r="808" spans="2:8" x14ac:dyDescent="0.25">
      <c r="B808" s="89" t="s">
        <v>80</v>
      </c>
      <c r="C808" s="89" t="s">
        <v>81</v>
      </c>
      <c r="D808" s="89" t="s">
        <v>32</v>
      </c>
      <c r="E808" s="89" t="s">
        <v>855</v>
      </c>
      <c r="F808" s="89" t="s">
        <v>859</v>
      </c>
      <c r="G808" s="89" t="s">
        <v>2077</v>
      </c>
      <c r="H808" s="93" t="s">
        <v>2078</v>
      </c>
    </row>
    <row r="809" spans="2:8" x14ac:dyDescent="0.25">
      <c r="B809" s="89" t="s">
        <v>80</v>
      </c>
      <c r="C809" s="89" t="s">
        <v>81</v>
      </c>
      <c r="D809" s="89" t="s">
        <v>32</v>
      </c>
      <c r="E809" s="89" t="s">
        <v>855</v>
      </c>
      <c r="F809" s="89" t="s">
        <v>859</v>
      </c>
      <c r="G809" s="89" t="s">
        <v>2079</v>
      </c>
      <c r="H809" s="93" t="s">
        <v>2080</v>
      </c>
    </row>
    <row r="810" spans="2:8" x14ac:dyDescent="0.25">
      <c r="B810" s="89" t="s">
        <v>80</v>
      </c>
      <c r="C810" s="89" t="s">
        <v>81</v>
      </c>
      <c r="D810" s="89" t="s">
        <v>32</v>
      </c>
      <c r="E810" s="89" t="s">
        <v>855</v>
      </c>
      <c r="F810" s="89" t="s">
        <v>859</v>
      </c>
      <c r="G810" s="89" t="s">
        <v>2081</v>
      </c>
      <c r="H810" s="93" t="s">
        <v>2082</v>
      </c>
    </row>
    <row r="811" spans="2:8" x14ac:dyDescent="0.25">
      <c r="B811" s="89" t="s">
        <v>80</v>
      </c>
      <c r="C811" s="89" t="s">
        <v>81</v>
      </c>
      <c r="D811" s="89" t="s">
        <v>32</v>
      </c>
      <c r="E811" s="89" t="s">
        <v>855</v>
      </c>
      <c r="F811" s="89" t="s">
        <v>860</v>
      </c>
      <c r="G811" s="89" t="s">
        <v>2083</v>
      </c>
      <c r="H811" s="93" t="s">
        <v>2084</v>
      </c>
    </row>
    <row r="812" spans="2:8" x14ac:dyDescent="0.25">
      <c r="B812" s="89" t="s">
        <v>80</v>
      </c>
      <c r="C812" s="89" t="s">
        <v>81</v>
      </c>
      <c r="D812" s="89" t="s">
        <v>32</v>
      </c>
      <c r="E812" s="89" t="s">
        <v>855</v>
      </c>
      <c r="F812" s="89" t="s">
        <v>860</v>
      </c>
      <c r="G812" s="89" t="s">
        <v>2085</v>
      </c>
      <c r="H812" s="93" t="s">
        <v>2086</v>
      </c>
    </row>
    <row r="813" spans="2:8" x14ac:dyDescent="0.25">
      <c r="B813" s="89" t="s">
        <v>80</v>
      </c>
      <c r="C813" s="89" t="s">
        <v>81</v>
      </c>
      <c r="D813" s="89" t="s">
        <v>32</v>
      </c>
      <c r="E813" s="89" t="s">
        <v>855</v>
      </c>
      <c r="F813" s="89" t="s">
        <v>860</v>
      </c>
      <c r="G813" s="89" t="s">
        <v>639</v>
      </c>
      <c r="H813" s="93" t="s">
        <v>640</v>
      </c>
    </row>
    <row r="814" spans="2:8" x14ac:dyDescent="0.25">
      <c r="B814" s="89" t="s">
        <v>80</v>
      </c>
      <c r="C814" s="89" t="s">
        <v>81</v>
      </c>
      <c r="D814" s="89" t="s">
        <v>32</v>
      </c>
      <c r="E814" s="89" t="s">
        <v>855</v>
      </c>
      <c r="F814" s="89" t="s">
        <v>860</v>
      </c>
      <c r="G814" s="89" t="s">
        <v>2087</v>
      </c>
      <c r="H814" s="93" t="s">
        <v>2088</v>
      </c>
    </row>
    <row r="815" spans="2:8" x14ac:dyDescent="0.25">
      <c r="B815" s="89" t="s">
        <v>80</v>
      </c>
      <c r="C815" s="89" t="s">
        <v>81</v>
      </c>
      <c r="D815" s="89" t="s">
        <v>32</v>
      </c>
      <c r="E815" s="89" t="s">
        <v>855</v>
      </c>
      <c r="F815" s="89" t="s">
        <v>860</v>
      </c>
      <c r="G815" s="89" t="s">
        <v>2089</v>
      </c>
      <c r="H815" s="93" t="s">
        <v>660</v>
      </c>
    </row>
    <row r="816" spans="2:8" x14ac:dyDescent="0.25">
      <c r="B816" s="89" t="s">
        <v>80</v>
      </c>
      <c r="C816" s="89" t="s">
        <v>81</v>
      </c>
      <c r="D816" s="89" t="s">
        <v>32</v>
      </c>
      <c r="E816" s="89" t="s">
        <v>855</v>
      </c>
      <c r="F816" s="89" t="s">
        <v>860</v>
      </c>
      <c r="G816" s="89" t="s">
        <v>2090</v>
      </c>
      <c r="H816" s="93" t="s">
        <v>662</v>
      </c>
    </row>
    <row r="817" spans="2:8" x14ac:dyDescent="0.25">
      <c r="B817" s="89" t="s">
        <v>80</v>
      </c>
      <c r="C817" s="89" t="s">
        <v>81</v>
      </c>
      <c r="D817" s="89" t="s">
        <v>32</v>
      </c>
      <c r="E817" s="89" t="s">
        <v>855</v>
      </c>
      <c r="F817" s="89" t="s">
        <v>860</v>
      </c>
      <c r="G817" s="89" t="s">
        <v>2091</v>
      </c>
      <c r="H817" s="93" t="s">
        <v>664</v>
      </c>
    </row>
    <row r="818" spans="2:8" x14ac:dyDescent="0.25">
      <c r="B818" s="89" t="s">
        <v>80</v>
      </c>
      <c r="C818" s="89" t="s">
        <v>81</v>
      </c>
      <c r="D818" s="89" t="s">
        <v>32</v>
      </c>
      <c r="E818" s="89" t="s">
        <v>855</v>
      </c>
      <c r="F818" s="89" t="s">
        <v>860</v>
      </c>
      <c r="G818" s="89" t="s">
        <v>2092</v>
      </c>
      <c r="H818" s="93" t="s">
        <v>2093</v>
      </c>
    </row>
    <row r="819" spans="2:8" x14ac:dyDescent="0.25">
      <c r="B819" s="89" t="s">
        <v>80</v>
      </c>
      <c r="C819" s="89" t="s">
        <v>81</v>
      </c>
      <c r="D819" s="89" t="s">
        <v>32</v>
      </c>
      <c r="E819" s="89" t="s">
        <v>855</v>
      </c>
      <c r="F819" s="89" t="s">
        <v>860</v>
      </c>
      <c r="G819" s="89" t="s">
        <v>2094</v>
      </c>
      <c r="H819" s="93" t="s">
        <v>2095</v>
      </c>
    </row>
    <row r="820" spans="2:8" x14ac:dyDescent="0.25">
      <c r="B820" s="89" t="s">
        <v>80</v>
      </c>
      <c r="C820" s="89" t="s">
        <v>81</v>
      </c>
      <c r="D820" s="89" t="s">
        <v>32</v>
      </c>
      <c r="E820" s="89" t="s">
        <v>855</v>
      </c>
      <c r="F820" s="89" t="s">
        <v>861</v>
      </c>
      <c r="G820" s="89" t="s">
        <v>2096</v>
      </c>
      <c r="H820" s="93" t="s">
        <v>2097</v>
      </c>
    </row>
    <row r="821" spans="2:8" x14ac:dyDescent="0.25">
      <c r="B821" s="89" t="s">
        <v>80</v>
      </c>
      <c r="C821" s="89" t="s">
        <v>81</v>
      </c>
      <c r="D821" s="89" t="s">
        <v>32</v>
      </c>
      <c r="E821" s="89" t="s">
        <v>855</v>
      </c>
      <c r="F821" s="89" t="s">
        <v>861</v>
      </c>
      <c r="G821" s="89" t="s">
        <v>709</v>
      </c>
      <c r="H821" s="93" t="s">
        <v>710</v>
      </c>
    </row>
    <row r="822" spans="2:8" x14ac:dyDescent="0.25">
      <c r="B822" s="89" t="s">
        <v>80</v>
      </c>
      <c r="C822" s="89" t="s">
        <v>81</v>
      </c>
      <c r="D822" s="89" t="s">
        <v>32</v>
      </c>
      <c r="E822" s="89" t="s">
        <v>855</v>
      </c>
      <c r="F822" s="89" t="s">
        <v>861</v>
      </c>
      <c r="G822" s="89" t="s">
        <v>701</v>
      </c>
      <c r="H822" s="93" t="s">
        <v>702</v>
      </c>
    </row>
    <row r="823" spans="2:8" x14ac:dyDescent="0.25">
      <c r="B823" s="89" t="s">
        <v>80</v>
      </c>
      <c r="C823" s="89" t="s">
        <v>81</v>
      </c>
      <c r="D823" s="89" t="s">
        <v>32</v>
      </c>
      <c r="E823" s="89" t="s">
        <v>855</v>
      </c>
      <c r="F823" s="89" t="s">
        <v>861</v>
      </c>
      <c r="G823" s="89" t="s">
        <v>2098</v>
      </c>
      <c r="H823" s="93" t="s">
        <v>712</v>
      </c>
    </row>
    <row r="824" spans="2:8" x14ac:dyDescent="0.25">
      <c r="B824" s="89" t="s">
        <v>80</v>
      </c>
      <c r="C824" s="89" t="s">
        <v>81</v>
      </c>
      <c r="D824" s="89" t="s">
        <v>32</v>
      </c>
      <c r="E824" s="89" t="s">
        <v>855</v>
      </c>
      <c r="F824" s="89" t="s">
        <v>861</v>
      </c>
      <c r="G824" s="89" t="s">
        <v>707</v>
      </c>
      <c r="H824" s="93" t="s">
        <v>708</v>
      </c>
    </row>
    <row r="825" spans="2:8" x14ac:dyDescent="0.25">
      <c r="B825" s="89" t="s">
        <v>80</v>
      </c>
      <c r="C825" s="89" t="s">
        <v>81</v>
      </c>
      <c r="D825" s="89" t="s">
        <v>32</v>
      </c>
      <c r="E825" s="89" t="s">
        <v>855</v>
      </c>
      <c r="F825" s="89" t="s">
        <v>861</v>
      </c>
      <c r="G825" s="89" t="s">
        <v>703</v>
      </c>
      <c r="H825" s="93" t="s">
        <v>704</v>
      </c>
    </row>
    <row r="826" spans="2:8" x14ac:dyDescent="0.25">
      <c r="B826" s="89" t="s">
        <v>80</v>
      </c>
      <c r="C826" s="89" t="s">
        <v>81</v>
      </c>
      <c r="D826" s="89" t="s">
        <v>32</v>
      </c>
      <c r="E826" s="89" t="s">
        <v>855</v>
      </c>
      <c r="F826" s="89" t="s">
        <v>861</v>
      </c>
      <c r="G826" s="89" t="s">
        <v>2099</v>
      </c>
      <c r="H826" s="93" t="s">
        <v>2100</v>
      </c>
    </row>
    <row r="827" spans="2:8" x14ac:dyDescent="0.25">
      <c r="B827" s="89" t="s">
        <v>80</v>
      </c>
      <c r="C827" s="89" t="s">
        <v>81</v>
      </c>
      <c r="D827" s="89" t="s">
        <v>32</v>
      </c>
      <c r="E827" s="89" t="s">
        <v>855</v>
      </c>
      <c r="F827" s="89" t="s">
        <v>861</v>
      </c>
      <c r="G827" s="89" t="s">
        <v>705</v>
      </c>
      <c r="H827" s="93" t="s">
        <v>706</v>
      </c>
    </row>
    <row r="828" spans="2:8" x14ac:dyDescent="0.25">
      <c r="B828" s="89" t="s">
        <v>80</v>
      </c>
      <c r="C828" s="89" t="s">
        <v>81</v>
      </c>
      <c r="D828" s="89" t="s">
        <v>32</v>
      </c>
      <c r="E828" s="89" t="s">
        <v>855</v>
      </c>
      <c r="F828" s="89" t="s">
        <v>861</v>
      </c>
      <c r="G828" s="89" t="s">
        <v>2101</v>
      </c>
      <c r="H828" s="93" t="s">
        <v>2102</v>
      </c>
    </row>
    <row r="829" spans="2:8" x14ac:dyDescent="0.25">
      <c r="B829" s="89" t="s">
        <v>80</v>
      </c>
      <c r="C829" s="89" t="s">
        <v>81</v>
      </c>
      <c r="D829" s="89" t="s">
        <v>32</v>
      </c>
      <c r="E829" s="89" t="s">
        <v>855</v>
      </c>
      <c r="F829" s="89" t="s">
        <v>861</v>
      </c>
      <c r="G829" s="89" t="s">
        <v>2103</v>
      </c>
      <c r="H829" s="93" t="s">
        <v>2104</v>
      </c>
    </row>
    <row r="830" spans="2:8" x14ac:dyDescent="0.25">
      <c r="B830" s="89" t="s">
        <v>80</v>
      </c>
      <c r="C830" s="89" t="s">
        <v>81</v>
      </c>
      <c r="D830" s="89" t="s">
        <v>32</v>
      </c>
      <c r="E830" s="89" t="s">
        <v>855</v>
      </c>
      <c r="F830" s="89" t="s">
        <v>861</v>
      </c>
      <c r="G830" s="89" t="s">
        <v>2105</v>
      </c>
      <c r="H830" s="93" t="s">
        <v>2106</v>
      </c>
    </row>
    <row r="831" spans="2:8" x14ac:dyDescent="0.25">
      <c r="B831" s="89" t="s">
        <v>80</v>
      </c>
      <c r="C831" s="89" t="s">
        <v>81</v>
      </c>
      <c r="D831" s="89" t="s">
        <v>32</v>
      </c>
      <c r="E831" s="89" t="s">
        <v>855</v>
      </c>
      <c r="F831" s="89" t="s">
        <v>861</v>
      </c>
      <c r="G831" s="89" t="s">
        <v>2107</v>
      </c>
      <c r="H831" s="93" t="s">
        <v>2108</v>
      </c>
    </row>
    <row r="832" spans="2:8" x14ac:dyDescent="0.25">
      <c r="B832" s="89" t="s">
        <v>80</v>
      </c>
      <c r="C832" s="89" t="s">
        <v>81</v>
      </c>
      <c r="D832" s="89" t="s">
        <v>32</v>
      </c>
      <c r="E832" s="89" t="s">
        <v>855</v>
      </c>
      <c r="F832" s="89" t="s">
        <v>862</v>
      </c>
      <c r="G832" s="89" t="s">
        <v>643</v>
      </c>
      <c r="H832" s="93" t="s">
        <v>644</v>
      </c>
    </row>
    <row r="833" spans="2:8" x14ac:dyDescent="0.25">
      <c r="B833" s="89" t="s">
        <v>80</v>
      </c>
      <c r="C833" s="89" t="s">
        <v>81</v>
      </c>
      <c r="D833" s="89" t="s">
        <v>32</v>
      </c>
      <c r="E833" s="89" t="s">
        <v>855</v>
      </c>
      <c r="F833" s="89" t="s">
        <v>862</v>
      </c>
      <c r="G833" s="89" t="s">
        <v>645</v>
      </c>
      <c r="H833" s="93" t="s">
        <v>646</v>
      </c>
    </row>
    <row r="834" spans="2:8" x14ac:dyDescent="0.25">
      <c r="B834" s="89" t="s">
        <v>80</v>
      </c>
      <c r="C834" s="89" t="s">
        <v>81</v>
      </c>
      <c r="D834" s="89" t="s">
        <v>32</v>
      </c>
      <c r="E834" s="89" t="s">
        <v>855</v>
      </c>
      <c r="F834" s="89" t="s">
        <v>863</v>
      </c>
      <c r="G834" s="89" t="s">
        <v>715</v>
      </c>
      <c r="H834" s="93" t="s">
        <v>716</v>
      </c>
    </row>
    <row r="835" spans="2:8" x14ac:dyDescent="0.25">
      <c r="B835" s="89" t="s">
        <v>80</v>
      </c>
      <c r="C835" s="89" t="s">
        <v>81</v>
      </c>
      <c r="D835" s="89" t="s">
        <v>32</v>
      </c>
      <c r="E835" s="89" t="s">
        <v>855</v>
      </c>
      <c r="F835" s="89" t="s">
        <v>864</v>
      </c>
      <c r="G835" s="89" t="s">
        <v>2109</v>
      </c>
      <c r="H835" s="93" t="s">
        <v>636</v>
      </c>
    </row>
    <row r="836" spans="2:8" x14ac:dyDescent="0.25">
      <c r="B836" s="89" t="s">
        <v>80</v>
      </c>
      <c r="C836" s="89" t="s">
        <v>81</v>
      </c>
      <c r="D836" s="89" t="s">
        <v>32</v>
      </c>
      <c r="E836" s="89" t="s">
        <v>855</v>
      </c>
      <c r="F836" s="89" t="s">
        <v>865</v>
      </c>
      <c r="G836" s="89" t="s">
        <v>612</v>
      </c>
      <c r="H836" s="93" t="s">
        <v>613</v>
      </c>
    </row>
    <row r="837" spans="2:8" x14ac:dyDescent="0.25">
      <c r="B837" s="89" t="s">
        <v>80</v>
      </c>
      <c r="C837" s="89" t="s">
        <v>81</v>
      </c>
      <c r="D837" s="89" t="s">
        <v>32</v>
      </c>
      <c r="E837" s="89" t="s">
        <v>855</v>
      </c>
      <c r="F837" s="89" t="s">
        <v>865</v>
      </c>
      <c r="G837" s="89" t="s">
        <v>2110</v>
      </c>
      <c r="H837" s="93" t="s">
        <v>2111</v>
      </c>
    </row>
    <row r="838" spans="2:8" x14ac:dyDescent="0.25">
      <c r="B838" s="89" t="s">
        <v>80</v>
      </c>
      <c r="C838" s="89" t="s">
        <v>81</v>
      </c>
      <c r="D838" s="89" t="s">
        <v>32</v>
      </c>
      <c r="E838" s="89" t="s">
        <v>855</v>
      </c>
      <c r="F838" s="89" t="s">
        <v>865</v>
      </c>
      <c r="G838" s="89" t="s">
        <v>2112</v>
      </c>
      <c r="H838" s="93" t="s">
        <v>2113</v>
      </c>
    </row>
    <row r="839" spans="2:8" x14ac:dyDescent="0.25">
      <c r="B839" s="89" t="s">
        <v>80</v>
      </c>
      <c r="C839" s="89" t="s">
        <v>81</v>
      </c>
      <c r="D839" s="89" t="s">
        <v>32</v>
      </c>
      <c r="E839" s="89" t="s">
        <v>855</v>
      </c>
      <c r="F839" s="89" t="s">
        <v>865</v>
      </c>
      <c r="G839" s="89" t="s">
        <v>2114</v>
      </c>
      <c r="H839" s="93" t="s">
        <v>2115</v>
      </c>
    </row>
    <row r="840" spans="2:8" x14ac:dyDescent="0.25">
      <c r="B840" s="89" t="s">
        <v>80</v>
      </c>
      <c r="C840" s="89" t="s">
        <v>81</v>
      </c>
      <c r="D840" s="89" t="s">
        <v>32</v>
      </c>
      <c r="E840" s="89" t="s">
        <v>855</v>
      </c>
      <c r="F840" s="89" t="s">
        <v>865</v>
      </c>
      <c r="G840" s="89" t="s">
        <v>2116</v>
      </c>
      <c r="H840" s="93" t="s">
        <v>2117</v>
      </c>
    </row>
    <row r="841" spans="2:8" x14ac:dyDescent="0.25">
      <c r="B841" s="89" t="s">
        <v>80</v>
      </c>
      <c r="C841" s="89" t="s">
        <v>81</v>
      </c>
      <c r="D841" s="89" t="s">
        <v>32</v>
      </c>
      <c r="E841" s="89" t="s">
        <v>855</v>
      </c>
      <c r="F841" s="89" t="s">
        <v>865</v>
      </c>
      <c r="G841" s="89" t="s">
        <v>2118</v>
      </c>
      <c r="H841" s="93" t="s">
        <v>2119</v>
      </c>
    </row>
    <row r="842" spans="2:8" x14ac:dyDescent="0.25">
      <c r="B842" s="89" t="s">
        <v>80</v>
      </c>
      <c r="C842" s="89" t="s">
        <v>81</v>
      </c>
      <c r="D842" s="89" t="s">
        <v>32</v>
      </c>
      <c r="E842" s="89" t="s">
        <v>855</v>
      </c>
      <c r="F842" s="89" t="s">
        <v>865</v>
      </c>
      <c r="G842" s="89" t="s">
        <v>2118</v>
      </c>
      <c r="H842" s="93" t="s">
        <v>2120</v>
      </c>
    </row>
    <row r="843" spans="2:8" x14ac:dyDescent="0.25">
      <c r="B843" s="89" t="s">
        <v>80</v>
      </c>
      <c r="C843" s="89" t="s">
        <v>81</v>
      </c>
      <c r="D843" s="89" t="s">
        <v>32</v>
      </c>
      <c r="E843" s="89" t="s">
        <v>855</v>
      </c>
      <c r="F843" s="89" t="s">
        <v>865</v>
      </c>
      <c r="G843" s="89" t="s">
        <v>2121</v>
      </c>
      <c r="H843" s="93" t="s">
        <v>2122</v>
      </c>
    </row>
    <row r="844" spans="2:8" x14ac:dyDescent="0.25">
      <c r="B844" s="89" t="s">
        <v>80</v>
      </c>
      <c r="C844" s="89" t="s">
        <v>81</v>
      </c>
      <c r="D844" s="89" t="s">
        <v>32</v>
      </c>
      <c r="E844" s="89" t="s">
        <v>855</v>
      </c>
      <c r="F844" s="89" t="s">
        <v>865</v>
      </c>
      <c r="G844" s="89" t="s">
        <v>2123</v>
      </c>
      <c r="H844" s="93" t="s">
        <v>605</v>
      </c>
    </row>
    <row r="845" spans="2:8" x14ac:dyDescent="0.25">
      <c r="B845" s="89" t="s">
        <v>80</v>
      </c>
      <c r="C845" s="89" t="s">
        <v>81</v>
      </c>
      <c r="D845" s="89" t="s">
        <v>32</v>
      </c>
      <c r="E845" s="89" t="s">
        <v>855</v>
      </c>
      <c r="F845" s="89" t="s">
        <v>865</v>
      </c>
      <c r="G845" s="89" t="s">
        <v>2124</v>
      </c>
      <c r="H845" s="93" t="s">
        <v>2125</v>
      </c>
    </row>
    <row r="846" spans="2:8" x14ac:dyDescent="0.25">
      <c r="B846" s="89" t="s">
        <v>80</v>
      </c>
      <c r="C846" s="89" t="s">
        <v>81</v>
      </c>
      <c r="D846" s="89" t="s">
        <v>32</v>
      </c>
      <c r="E846" s="89" t="s">
        <v>855</v>
      </c>
      <c r="F846" s="89" t="s">
        <v>865</v>
      </c>
      <c r="G846" s="89" t="s">
        <v>2126</v>
      </c>
      <c r="H846" s="93" t="s">
        <v>2127</v>
      </c>
    </row>
    <row r="847" spans="2:8" x14ac:dyDescent="0.25">
      <c r="B847" s="89" t="s">
        <v>80</v>
      </c>
      <c r="C847" s="89" t="s">
        <v>81</v>
      </c>
      <c r="D847" s="89" t="s">
        <v>32</v>
      </c>
      <c r="E847" s="89" t="s">
        <v>855</v>
      </c>
      <c r="F847" s="89" t="s">
        <v>865</v>
      </c>
      <c r="G847" s="89" t="s">
        <v>615</v>
      </c>
      <c r="H847" s="93" t="s">
        <v>616</v>
      </c>
    </row>
    <row r="848" spans="2:8" x14ac:dyDescent="0.25">
      <c r="B848" s="89" t="s">
        <v>80</v>
      </c>
      <c r="C848" s="89" t="s">
        <v>81</v>
      </c>
      <c r="D848" s="89" t="s">
        <v>32</v>
      </c>
      <c r="E848" s="89" t="s">
        <v>855</v>
      </c>
      <c r="F848" s="89" t="s">
        <v>865</v>
      </c>
      <c r="G848" s="89" t="s">
        <v>2128</v>
      </c>
      <c r="H848" s="93" t="s">
        <v>2129</v>
      </c>
    </row>
    <row r="849" spans="2:8" x14ac:dyDescent="0.25">
      <c r="B849" s="89" t="s">
        <v>80</v>
      </c>
      <c r="C849" s="89" t="s">
        <v>81</v>
      </c>
      <c r="D849" s="89" t="s">
        <v>32</v>
      </c>
      <c r="E849" s="89" t="s">
        <v>855</v>
      </c>
      <c r="F849" s="89" t="s">
        <v>865</v>
      </c>
      <c r="G849" s="89" t="s">
        <v>2130</v>
      </c>
      <c r="H849" s="93" t="s">
        <v>2131</v>
      </c>
    </row>
    <row r="850" spans="2:8" x14ac:dyDescent="0.25">
      <c r="B850" s="89" t="s">
        <v>80</v>
      </c>
      <c r="C850" s="89" t="s">
        <v>81</v>
      </c>
      <c r="D850" s="89" t="s">
        <v>32</v>
      </c>
      <c r="E850" s="89" t="s">
        <v>855</v>
      </c>
      <c r="F850" s="89" t="s">
        <v>865</v>
      </c>
      <c r="G850" s="89" t="s">
        <v>2132</v>
      </c>
      <c r="H850" s="93" t="s">
        <v>2133</v>
      </c>
    </row>
    <row r="851" spans="2:8" x14ac:dyDescent="0.25">
      <c r="B851" s="89" t="s">
        <v>80</v>
      </c>
      <c r="C851" s="89" t="s">
        <v>81</v>
      </c>
      <c r="D851" s="89" t="s">
        <v>32</v>
      </c>
      <c r="E851" s="89" t="s">
        <v>855</v>
      </c>
      <c r="F851" s="89" t="s">
        <v>865</v>
      </c>
      <c r="G851" s="89" t="s">
        <v>2134</v>
      </c>
      <c r="H851" s="93" t="s">
        <v>609</v>
      </c>
    </row>
    <row r="852" spans="2:8" x14ac:dyDescent="0.25">
      <c r="B852" s="89" t="s">
        <v>80</v>
      </c>
      <c r="C852" s="89" t="s">
        <v>81</v>
      </c>
      <c r="D852" s="89" t="s">
        <v>32</v>
      </c>
      <c r="E852" s="89" t="s">
        <v>855</v>
      </c>
      <c r="F852" s="89" t="s">
        <v>866</v>
      </c>
      <c r="G852" s="89" t="s">
        <v>647</v>
      </c>
      <c r="H852" s="93" t="s">
        <v>648</v>
      </c>
    </row>
    <row r="853" spans="2:8" x14ac:dyDescent="0.25">
      <c r="B853" s="89" t="s">
        <v>80</v>
      </c>
      <c r="C853" s="89" t="s">
        <v>81</v>
      </c>
      <c r="D853" s="89" t="s">
        <v>32</v>
      </c>
      <c r="E853" s="89" t="s">
        <v>855</v>
      </c>
      <c r="F853" s="89" t="s">
        <v>866</v>
      </c>
      <c r="G853" s="89" t="s">
        <v>657</v>
      </c>
      <c r="H853" s="93" t="s">
        <v>658</v>
      </c>
    </row>
    <row r="854" spans="2:8" x14ac:dyDescent="0.25">
      <c r="B854" s="89" t="s">
        <v>80</v>
      </c>
      <c r="C854" s="89" t="s">
        <v>81</v>
      </c>
      <c r="D854" s="89" t="s">
        <v>32</v>
      </c>
      <c r="E854" s="89" t="s">
        <v>855</v>
      </c>
      <c r="F854" s="89" t="s">
        <v>866</v>
      </c>
      <c r="G854" s="89" t="s">
        <v>649</v>
      </c>
      <c r="H854" s="93" t="s">
        <v>650</v>
      </c>
    </row>
    <row r="855" spans="2:8" x14ac:dyDescent="0.25">
      <c r="B855" s="89" t="s">
        <v>80</v>
      </c>
      <c r="C855" s="89" t="s">
        <v>81</v>
      </c>
      <c r="D855" s="89" t="s">
        <v>32</v>
      </c>
      <c r="E855" s="89" t="s">
        <v>855</v>
      </c>
      <c r="F855" s="89" t="s">
        <v>866</v>
      </c>
      <c r="G855" s="89" t="s">
        <v>651</v>
      </c>
      <c r="H855" s="93" t="s">
        <v>652</v>
      </c>
    </row>
    <row r="856" spans="2:8" x14ac:dyDescent="0.25">
      <c r="B856" s="89" t="s">
        <v>80</v>
      </c>
      <c r="C856" s="89" t="s">
        <v>81</v>
      </c>
      <c r="D856" s="89" t="s">
        <v>32</v>
      </c>
      <c r="E856" s="89" t="s">
        <v>855</v>
      </c>
      <c r="F856" s="89" t="s">
        <v>866</v>
      </c>
      <c r="G856" s="89" t="s">
        <v>655</v>
      </c>
      <c r="H856" s="93" t="s">
        <v>656</v>
      </c>
    </row>
    <row r="857" spans="2:8" x14ac:dyDescent="0.25">
      <c r="B857" s="89" t="s">
        <v>80</v>
      </c>
      <c r="C857" s="89" t="s">
        <v>81</v>
      </c>
      <c r="D857" s="89" t="s">
        <v>32</v>
      </c>
      <c r="E857" s="89" t="s">
        <v>855</v>
      </c>
      <c r="F857" s="89" t="s">
        <v>866</v>
      </c>
      <c r="G857" s="89" t="s">
        <v>653</v>
      </c>
      <c r="H857" s="93" t="s">
        <v>654</v>
      </c>
    </row>
    <row r="858" spans="2:8" x14ac:dyDescent="0.25">
      <c r="B858" s="89" t="s">
        <v>80</v>
      </c>
      <c r="C858" s="89" t="s">
        <v>81</v>
      </c>
      <c r="D858" s="89" t="s">
        <v>32</v>
      </c>
      <c r="E858" s="89" t="s">
        <v>855</v>
      </c>
      <c r="F858" s="89" t="s">
        <v>866</v>
      </c>
      <c r="G858" s="89" t="s">
        <v>2135</v>
      </c>
      <c r="H858" s="93" t="s">
        <v>2136</v>
      </c>
    </row>
    <row r="859" spans="2:8" x14ac:dyDescent="0.25">
      <c r="B859" s="89" t="s">
        <v>80</v>
      </c>
      <c r="C859" s="89" t="s">
        <v>81</v>
      </c>
      <c r="D859" s="89" t="s">
        <v>32</v>
      </c>
      <c r="E859" s="89" t="s">
        <v>855</v>
      </c>
      <c r="F859" s="89" t="s">
        <v>867</v>
      </c>
      <c r="G859" s="89" t="s">
        <v>2137</v>
      </c>
      <c r="H859" s="93" t="s">
        <v>2138</v>
      </c>
    </row>
    <row r="860" spans="2:8" x14ac:dyDescent="0.25">
      <c r="B860" s="89" t="s">
        <v>80</v>
      </c>
      <c r="C860" s="89" t="s">
        <v>81</v>
      </c>
      <c r="D860" s="89" t="s">
        <v>32</v>
      </c>
      <c r="E860" s="89" t="s">
        <v>855</v>
      </c>
      <c r="F860" s="89" t="s">
        <v>867</v>
      </c>
      <c r="G860" s="89" t="s">
        <v>2139</v>
      </c>
      <c r="H860" s="93" t="s">
        <v>2140</v>
      </c>
    </row>
    <row r="861" spans="2:8" x14ac:dyDescent="0.25">
      <c r="B861" s="89" t="s">
        <v>80</v>
      </c>
      <c r="C861" s="89" t="s">
        <v>81</v>
      </c>
      <c r="D861" s="89" t="s">
        <v>32</v>
      </c>
      <c r="E861" s="89" t="s">
        <v>855</v>
      </c>
      <c r="F861" s="89" t="s">
        <v>867</v>
      </c>
      <c r="G861" s="89" t="s">
        <v>2141</v>
      </c>
      <c r="H861" s="93" t="s">
        <v>2142</v>
      </c>
    </row>
    <row r="862" spans="2:8" x14ac:dyDescent="0.25">
      <c r="B862" s="89" t="s">
        <v>80</v>
      </c>
      <c r="C862" s="89" t="s">
        <v>81</v>
      </c>
      <c r="D862" s="89" t="s">
        <v>32</v>
      </c>
      <c r="E862" s="89" t="s">
        <v>855</v>
      </c>
      <c r="F862" s="89" t="s">
        <v>867</v>
      </c>
      <c r="G862" s="89" t="s">
        <v>2143</v>
      </c>
      <c r="H862" s="93" t="s">
        <v>2144</v>
      </c>
    </row>
    <row r="863" spans="2:8" x14ac:dyDescent="0.25">
      <c r="B863" s="89" t="s">
        <v>80</v>
      </c>
      <c r="C863" s="89" t="s">
        <v>81</v>
      </c>
      <c r="D863" s="89" t="s">
        <v>32</v>
      </c>
      <c r="E863" s="89" t="s">
        <v>855</v>
      </c>
      <c r="F863" s="89" t="s">
        <v>867</v>
      </c>
      <c r="G863" s="89" t="s">
        <v>2145</v>
      </c>
      <c r="H863" s="93" t="s">
        <v>2146</v>
      </c>
    </row>
    <row r="864" spans="2:8" x14ac:dyDescent="0.25">
      <c r="B864" s="89" t="s">
        <v>80</v>
      </c>
      <c r="C864" s="89" t="s">
        <v>81</v>
      </c>
      <c r="D864" s="89" t="s">
        <v>32</v>
      </c>
      <c r="E864" s="89" t="s">
        <v>855</v>
      </c>
      <c r="F864" s="89" t="s">
        <v>867</v>
      </c>
      <c r="G864" s="89" t="s">
        <v>727</v>
      </c>
      <c r="H864" s="93" t="s">
        <v>728</v>
      </c>
    </row>
    <row r="865" spans="2:8" x14ac:dyDescent="0.25">
      <c r="B865" s="89" t="s">
        <v>80</v>
      </c>
      <c r="C865" s="89" t="s">
        <v>81</v>
      </c>
      <c r="D865" s="89" t="s">
        <v>32</v>
      </c>
      <c r="E865" s="89" t="s">
        <v>855</v>
      </c>
      <c r="F865" s="89" t="s">
        <v>867</v>
      </c>
      <c r="G865" s="89" t="s">
        <v>721</v>
      </c>
      <c r="H865" s="93" t="s">
        <v>722</v>
      </c>
    </row>
    <row r="866" spans="2:8" x14ac:dyDescent="0.25">
      <c r="B866" s="89" t="s">
        <v>80</v>
      </c>
      <c r="C866" s="89" t="s">
        <v>81</v>
      </c>
      <c r="D866" s="89" t="s">
        <v>32</v>
      </c>
      <c r="E866" s="89" t="s">
        <v>855</v>
      </c>
      <c r="F866" s="89" t="s">
        <v>867</v>
      </c>
      <c r="G866" s="89" t="s">
        <v>725</v>
      </c>
      <c r="H866" s="93" t="s">
        <v>726</v>
      </c>
    </row>
    <row r="867" spans="2:8" x14ac:dyDescent="0.25">
      <c r="B867" s="89" t="s">
        <v>80</v>
      </c>
      <c r="C867" s="89" t="s">
        <v>81</v>
      </c>
      <c r="D867" s="89" t="s">
        <v>32</v>
      </c>
      <c r="E867" s="89" t="s">
        <v>855</v>
      </c>
      <c r="F867" s="89" t="s">
        <v>867</v>
      </c>
      <c r="G867" s="89" t="s">
        <v>2147</v>
      </c>
      <c r="H867" s="93" t="s">
        <v>2148</v>
      </c>
    </row>
    <row r="868" spans="2:8" x14ac:dyDescent="0.25">
      <c r="B868" s="89" t="s">
        <v>80</v>
      </c>
      <c r="C868" s="89" t="s">
        <v>81</v>
      </c>
      <c r="D868" s="89" t="s">
        <v>32</v>
      </c>
      <c r="E868" s="89" t="s">
        <v>855</v>
      </c>
      <c r="F868" s="89" t="s">
        <v>867</v>
      </c>
      <c r="G868" s="89" t="s">
        <v>2149</v>
      </c>
      <c r="H868" s="93" t="s">
        <v>2150</v>
      </c>
    </row>
    <row r="869" spans="2:8" x14ac:dyDescent="0.25">
      <c r="B869" s="89" t="s">
        <v>80</v>
      </c>
      <c r="C869" s="89" t="s">
        <v>81</v>
      </c>
      <c r="D869" s="89" t="s">
        <v>32</v>
      </c>
      <c r="E869" s="89" t="s">
        <v>855</v>
      </c>
      <c r="F869" s="89" t="s">
        <v>867</v>
      </c>
      <c r="G869" s="89" t="s">
        <v>2151</v>
      </c>
      <c r="H869" s="93" t="s">
        <v>2152</v>
      </c>
    </row>
    <row r="870" spans="2:8" x14ac:dyDescent="0.25">
      <c r="B870" s="89" t="s">
        <v>80</v>
      </c>
      <c r="C870" s="89" t="s">
        <v>81</v>
      </c>
      <c r="D870" s="89" t="s">
        <v>32</v>
      </c>
      <c r="E870" s="89" t="s">
        <v>855</v>
      </c>
      <c r="F870" s="89" t="s">
        <v>867</v>
      </c>
      <c r="G870" s="89" t="s">
        <v>2153</v>
      </c>
      <c r="H870" s="93" t="s">
        <v>2154</v>
      </c>
    </row>
    <row r="871" spans="2:8" x14ac:dyDescent="0.25">
      <c r="B871" s="89" t="s">
        <v>80</v>
      </c>
      <c r="C871" s="89" t="s">
        <v>81</v>
      </c>
      <c r="D871" s="89" t="s">
        <v>32</v>
      </c>
      <c r="E871" s="89" t="s">
        <v>855</v>
      </c>
      <c r="F871" s="89" t="s">
        <v>867</v>
      </c>
      <c r="G871" s="89" t="s">
        <v>2155</v>
      </c>
      <c r="H871" s="93" t="s">
        <v>2156</v>
      </c>
    </row>
    <row r="872" spans="2:8" x14ac:dyDescent="0.25">
      <c r="B872" s="89" t="s">
        <v>80</v>
      </c>
      <c r="C872" s="89" t="s">
        <v>81</v>
      </c>
      <c r="D872" s="89" t="s">
        <v>32</v>
      </c>
      <c r="E872" s="89" t="s">
        <v>855</v>
      </c>
      <c r="F872" s="89" t="s">
        <v>867</v>
      </c>
      <c r="G872" s="89" t="s">
        <v>2157</v>
      </c>
      <c r="H872" s="93" t="s">
        <v>2158</v>
      </c>
    </row>
    <row r="873" spans="2:8" x14ac:dyDescent="0.25">
      <c r="B873" s="89" t="s">
        <v>80</v>
      </c>
      <c r="C873" s="89" t="s">
        <v>81</v>
      </c>
      <c r="D873" s="89" t="s">
        <v>32</v>
      </c>
      <c r="E873" s="89" t="s">
        <v>855</v>
      </c>
      <c r="F873" s="89" t="s">
        <v>867</v>
      </c>
      <c r="G873" s="89" t="s">
        <v>2159</v>
      </c>
      <c r="H873" s="93" t="s">
        <v>2160</v>
      </c>
    </row>
    <row r="874" spans="2:8" x14ac:dyDescent="0.25">
      <c r="B874" s="89" t="s">
        <v>80</v>
      </c>
      <c r="C874" s="89" t="s">
        <v>81</v>
      </c>
      <c r="D874" s="89" t="s">
        <v>32</v>
      </c>
      <c r="E874" s="89" t="s">
        <v>855</v>
      </c>
      <c r="F874" s="89" t="s">
        <v>867</v>
      </c>
      <c r="G874" s="89" t="s">
        <v>2161</v>
      </c>
      <c r="H874" s="93" t="s">
        <v>2162</v>
      </c>
    </row>
    <row r="875" spans="2:8" x14ac:dyDescent="0.25">
      <c r="B875" s="89" t="s">
        <v>80</v>
      </c>
      <c r="C875" s="89" t="s">
        <v>81</v>
      </c>
      <c r="D875" s="89" t="s">
        <v>32</v>
      </c>
      <c r="E875" s="89" t="s">
        <v>855</v>
      </c>
      <c r="F875" s="89" t="s">
        <v>867</v>
      </c>
      <c r="G875" s="89" t="s">
        <v>2163</v>
      </c>
      <c r="H875" s="93" t="s">
        <v>2164</v>
      </c>
    </row>
    <row r="876" spans="2:8" x14ac:dyDescent="0.25">
      <c r="B876" s="89" t="s">
        <v>80</v>
      </c>
      <c r="C876" s="89" t="s">
        <v>81</v>
      </c>
      <c r="D876" s="89" t="s">
        <v>32</v>
      </c>
      <c r="E876" s="89" t="s">
        <v>855</v>
      </c>
      <c r="F876" s="89" t="s">
        <v>867</v>
      </c>
      <c r="G876" s="89" t="s">
        <v>2165</v>
      </c>
      <c r="H876" s="93" t="s">
        <v>2166</v>
      </c>
    </row>
    <row r="877" spans="2:8" x14ac:dyDescent="0.25">
      <c r="B877" s="89" t="s">
        <v>80</v>
      </c>
      <c r="C877" s="89" t="s">
        <v>81</v>
      </c>
      <c r="D877" s="89" t="s">
        <v>32</v>
      </c>
      <c r="E877" s="89" t="s">
        <v>855</v>
      </c>
      <c r="F877" s="89" t="s">
        <v>867</v>
      </c>
      <c r="G877" s="89" t="s">
        <v>2167</v>
      </c>
      <c r="H877" s="93" t="s">
        <v>2168</v>
      </c>
    </row>
    <row r="878" spans="2:8" x14ac:dyDescent="0.25">
      <c r="B878" s="89" t="s">
        <v>80</v>
      </c>
      <c r="C878" s="89" t="s">
        <v>81</v>
      </c>
      <c r="D878" s="89" t="s">
        <v>32</v>
      </c>
      <c r="E878" s="89" t="s">
        <v>855</v>
      </c>
      <c r="F878" s="89" t="s">
        <v>867</v>
      </c>
      <c r="G878" s="89" t="s">
        <v>2169</v>
      </c>
      <c r="H878" s="93" t="s">
        <v>2170</v>
      </c>
    </row>
    <row r="879" spans="2:8" x14ac:dyDescent="0.25">
      <c r="B879" s="89" t="s">
        <v>80</v>
      </c>
      <c r="C879" s="89" t="s">
        <v>81</v>
      </c>
      <c r="D879" s="89" t="s">
        <v>32</v>
      </c>
      <c r="E879" s="89" t="s">
        <v>855</v>
      </c>
      <c r="F879" s="89" t="s">
        <v>867</v>
      </c>
      <c r="G879" s="89" t="s">
        <v>2171</v>
      </c>
      <c r="H879" s="93" t="s">
        <v>2172</v>
      </c>
    </row>
    <row r="880" spans="2:8" x14ac:dyDescent="0.25">
      <c r="B880" s="89" t="s">
        <v>80</v>
      </c>
      <c r="C880" s="89" t="s">
        <v>81</v>
      </c>
      <c r="D880" s="89" t="s">
        <v>32</v>
      </c>
      <c r="E880" s="89" t="s">
        <v>855</v>
      </c>
      <c r="F880" s="89" t="s">
        <v>867</v>
      </c>
      <c r="G880" s="89" t="s">
        <v>2173</v>
      </c>
      <c r="H880" s="93" t="s">
        <v>2174</v>
      </c>
    </row>
    <row r="881" spans="2:8" x14ac:dyDescent="0.25">
      <c r="B881" s="89" t="s">
        <v>80</v>
      </c>
      <c r="C881" s="89" t="s">
        <v>81</v>
      </c>
      <c r="D881" s="89" t="s">
        <v>32</v>
      </c>
      <c r="E881" s="89" t="s">
        <v>855</v>
      </c>
      <c r="F881" s="89" t="s">
        <v>867</v>
      </c>
      <c r="G881" s="89" t="s">
        <v>2175</v>
      </c>
      <c r="H881" s="93" t="s">
        <v>2176</v>
      </c>
    </row>
    <row r="882" spans="2:8" x14ac:dyDescent="0.25">
      <c r="B882" s="89" t="s">
        <v>80</v>
      </c>
      <c r="C882" s="89" t="s">
        <v>81</v>
      </c>
      <c r="D882" s="89" t="s">
        <v>32</v>
      </c>
      <c r="E882" s="89" t="s">
        <v>855</v>
      </c>
      <c r="F882" s="89" t="s">
        <v>867</v>
      </c>
      <c r="G882" s="89" t="s">
        <v>2177</v>
      </c>
      <c r="H882" s="93" t="s">
        <v>2178</v>
      </c>
    </row>
    <row r="883" spans="2:8" x14ac:dyDescent="0.25">
      <c r="B883" s="89" t="s">
        <v>80</v>
      </c>
      <c r="C883" s="89" t="s">
        <v>81</v>
      </c>
      <c r="D883" s="89" t="s">
        <v>32</v>
      </c>
      <c r="E883" s="89" t="s">
        <v>855</v>
      </c>
      <c r="F883" s="89" t="s">
        <v>867</v>
      </c>
      <c r="G883" s="89" t="s">
        <v>2177</v>
      </c>
      <c r="H883" s="93" t="s">
        <v>2179</v>
      </c>
    </row>
    <row r="884" spans="2:8" x14ac:dyDescent="0.25">
      <c r="B884" s="89" t="s">
        <v>80</v>
      </c>
      <c r="C884" s="89" t="s">
        <v>81</v>
      </c>
      <c r="D884" s="89" t="s">
        <v>32</v>
      </c>
      <c r="E884" s="89" t="s">
        <v>855</v>
      </c>
      <c r="F884" s="89" t="s">
        <v>867</v>
      </c>
      <c r="G884" s="89" t="s">
        <v>2180</v>
      </c>
      <c r="H884" s="93" t="s">
        <v>2181</v>
      </c>
    </row>
    <row r="885" spans="2:8" x14ac:dyDescent="0.25">
      <c r="B885" s="89" t="s">
        <v>80</v>
      </c>
      <c r="C885" s="89" t="s">
        <v>81</v>
      </c>
      <c r="D885" s="89" t="s">
        <v>32</v>
      </c>
      <c r="E885" s="89" t="s">
        <v>855</v>
      </c>
      <c r="F885" s="89" t="s">
        <v>867</v>
      </c>
      <c r="G885" s="89" t="s">
        <v>2182</v>
      </c>
      <c r="H885" s="93" t="s">
        <v>2183</v>
      </c>
    </row>
    <row r="886" spans="2:8" x14ac:dyDescent="0.25">
      <c r="B886" s="89" t="s">
        <v>80</v>
      </c>
      <c r="C886" s="89" t="s">
        <v>81</v>
      </c>
      <c r="D886" s="89" t="s">
        <v>32</v>
      </c>
      <c r="E886" s="89" t="s">
        <v>855</v>
      </c>
      <c r="F886" s="89" t="s">
        <v>867</v>
      </c>
      <c r="G886" s="89" t="s">
        <v>2184</v>
      </c>
      <c r="H886" s="93" t="s">
        <v>2185</v>
      </c>
    </row>
    <row r="887" spans="2:8" x14ac:dyDescent="0.25">
      <c r="B887" s="89" t="s">
        <v>80</v>
      </c>
      <c r="C887" s="89" t="s">
        <v>81</v>
      </c>
      <c r="D887" s="89" t="s">
        <v>32</v>
      </c>
      <c r="E887" s="89" t="s">
        <v>855</v>
      </c>
      <c r="F887" s="89" t="s">
        <v>867</v>
      </c>
      <c r="G887" s="89" t="s">
        <v>2186</v>
      </c>
      <c r="H887" s="93" t="s">
        <v>2187</v>
      </c>
    </row>
    <row r="888" spans="2:8" x14ac:dyDescent="0.25">
      <c r="B888" s="89" t="s">
        <v>80</v>
      </c>
      <c r="C888" s="89" t="s">
        <v>81</v>
      </c>
      <c r="D888" s="89" t="s">
        <v>32</v>
      </c>
      <c r="E888" s="89" t="s">
        <v>855</v>
      </c>
      <c r="F888" s="89" t="s">
        <v>867</v>
      </c>
      <c r="G888" s="89" t="s">
        <v>2188</v>
      </c>
      <c r="H888" s="93" t="s">
        <v>2189</v>
      </c>
    </row>
    <row r="889" spans="2:8" x14ac:dyDescent="0.25">
      <c r="B889" s="89" t="s">
        <v>80</v>
      </c>
      <c r="C889" s="89" t="s">
        <v>81</v>
      </c>
      <c r="D889" s="89" t="s">
        <v>32</v>
      </c>
      <c r="E889" s="89" t="s">
        <v>855</v>
      </c>
      <c r="F889" s="89" t="s">
        <v>867</v>
      </c>
      <c r="G889" s="89" t="s">
        <v>867</v>
      </c>
      <c r="H889" s="93" t="s">
        <v>2190</v>
      </c>
    </row>
    <row r="890" spans="2:8" x14ac:dyDescent="0.25">
      <c r="B890" s="89" t="s">
        <v>80</v>
      </c>
      <c r="C890" s="89" t="s">
        <v>81</v>
      </c>
      <c r="D890" s="89" t="s">
        <v>32</v>
      </c>
      <c r="E890" s="89" t="s">
        <v>855</v>
      </c>
      <c r="F890" s="89" t="s">
        <v>867</v>
      </c>
      <c r="G890" s="89" t="s">
        <v>2191</v>
      </c>
      <c r="H890" s="93" t="s">
        <v>2192</v>
      </c>
    </row>
    <row r="891" spans="2:8" x14ac:dyDescent="0.25">
      <c r="B891" s="89" t="s">
        <v>80</v>
      </c>
      <c r="C891" s="89" t="s">
        <v>81</v>
      </c>
      <c r="D891" s="89" t="s">
        <v>32</v>
      </c>
      <c r="E891" s="89" t="s">
        <v>855</v>
      </c>
      <c r="F891" s="89" t="s">
        <v>867</v>
      </c>
      <c r="G891" s="89" t="s">
        <v>867</v>
      </c>
      <c r="H891" s="93" t="s">
        <v>2193</v>
      </c>
    </row>
    <row r="892" spans="2:8" x14ac:dyDescent="0.25">
      <c r="B892" s="89" t="s">
        <v>80</v>
      </c>
      <c r="C892" s="89" t="s">
        <v>81</v>
      </c>
      <c r="D892" s="89" t="s">
        <v>32</v>
      </c>
      <c r="E892" s="89" t="s">
        <v>855</v>
      </c>
      <c r="F892" s="89" t="s">
        <v>867</v>
      </c>
      <c r="G892" s="89" t="s">
        <v>2194</v>
      </c>
      <c r="H892" s="93" t="s">
        <v>2195</v>
      </c>
    </row>
    <row r="893" spans="2:8" x14ac:dyDescent="0.25">
      <c r="B893" s="89" t="s">
        <v>80</v>
      </c>
      <c r="C893" s="89" t="s">
        <v>81</v>
      </c>
      <c r="D893" s="89" t="s">
        <v>32</v>
      </c>
      <c r="E893" s="89" t="s">
        <v>855</v>
      </c>
      <c r="F893" s="89" t="s">
        <v>867</v>
      </c>
      <c r="G893" s="89" t="s">
        <v>867</v>
      </c>
      <c r="H893" s="93" t="s">
        <v>2196</v>
      </c>
    </row>
    <row r="894" spans="2:8" x14ac:dyDescent="0.25">
      <c r="B894" s="89" t="s">
        <v>80</v>
      </c>
      <c r="C894" s="89" t="s">
        <v>81</v>
      </c>
      <c r="D894" s="89" t="s">
        <v>32</v>
      </c>
      <c r="E894" s="89" t="s">
        <v>855</v>
      </c>
      <c r="F894" s="89" t="s">
        <v>867</v>
      </c>
      <c r="G894" s="89" t="s">
        <v>2197</v>
      </c>
      <c r="H894" s="93" t="s">
        <v>2198</v>
      </c>
    </row>
    <row r="895" spans="2:8" x14ac:dyDescent="0.25">
      <c r="B895" s="89" t="s">
        <v>80</v>
      </c>
      <c r="C895" s="89" t="s">
        <v>81</v>
      </c>
      <c r="D895" s="89" t="s">
        <v>32</v>
      </c>
      <c r="E895" s="89" t="s">
        <v>855</v>
      </c>
      <c r="F895" s="89" t="s">
        <v>867</v>
      </c>
      <c r="G895" s="89" t="s">
        <v>2199</v>
      </c>
      <c r="H895" s="93" t="s">
        <v>2200</v>
      </c>
    </row>
    <row r="896" spans="2:8" x14ac:dyDescent="0.25">
      <c r="B896" s="89" t="s">
        <v>80</v>
      </c>
      <c r="C896" s="89" t="s">
        <v>81</v>
      </c>
      <c r="D896" s="89" t="s">
        <v>32</v>
      </c>
      <c r="E896" s="89" t="s">
        <v>855</v>
      </c>
      <c r="F896" s="89" t="s">
        <v>867</v>
      </c>
      <c r="G896" s="89" t="s">
        <v>2201</v>
      </c>
      <c r="H896" s="93" t="s">
        <v>2202</v>
      </c>
    </row>
    <row r="897" spans="2:8" x14ac:dyDescent="0.25">
      <c r="B897" s="89" t="s">
        <v>80</v>
      </c>
      <c r="C897" s="89" t="s">
        <v>81</v>
      </c>
      <c r="D897" s="89" t="s">
        <v>32</v>
      </c>
      <c r="E897" s="89" t="s">
        <v>855</v>
      </c>
      <c r="F897" s="89" t="s">
        <v>867</v>
      </c>
      <c r="G897" s="89" t="s">
        <v>2203</v>
      </c>
      <c r="H897" s="93" t="s">
        <v>2204</v>
      </c>
    </row>
    <row r="898" spans="2:8" x14ac:dyDescent="0.25">
      <c r="B898" s="89" t="s">
        <v>80</v>
      </c>
      <c r="C898" s="89" t="s">
        <v>81</v>
      </c>
      <c r="D898" s="89" t="s">
        <v>32</v>
      </c>
      <c r="E898" s="89" t="s">
        <v>855</v>
      </c>
      <c r="F898" s="89" t="s">
        <v>867</v>
      </c>
      <c r="G898" s="89" t="s">
        <v>2205</v>
      </c>
      <c r="H898" s="93" t="s">
        <v>2206</v>
      </c>
    </row>
    <row r="899" spans="2:8" x14ac:dyDescent="0.25">
      <c r="B899" s="89" t="s">
        <v>80</v>
      </c>
      <c r="C899" s="89" t="s">
        <v>81</v>
      </c>
      <c r="D899" s="89" t="s">
        <v>32</v>
      </c>
      <c r="E899" s="89" t="s">
        <v>855</v>
      </c>
      <c r="F899" s="89" t="s">
        <v>867</v>
      </c>
      <c r="G899" s="89" t="s">
        <v>867</v>
      </c>
      <c r="H899" s="93" t="s">
        <v>2207</v>
      </c>
    </row>
    <row r="900" spans="2:8" x14ac:dyDescent="0.25">
      <c r="B900" s="89" t="s">
        <v>80</v>
      </c>
      <c r="C900" s="89" t="s">
        <v>81</v>
      </c>
      <c r="D900" s="89" t="s">
        <v>32</v>
      </c>
      <c r="E900" s="89" t="s">
        <v>855</v>
      </c>
      <c r="F900" s="89" t="s">
        <v>867</v>
      </c>
      <c r="G900" s="89" t="s">
        <v>2205</v>
      </c>
      <c r="H900" s="93" t="s">
        <v>2208</v>
      </c>
    </row>
    <row r="901" spans="2:8" x14ac:dyDescent="0.25">
      <c r="B901" s="89" t="s">
        <v>80</v>
      </c>
      <c r="C901" s="89" t="s">
        <v>81</v>
      </c>
      <c r="D901" s="89" t="s">
        <v>32</v>
      </c>
      <c r="E901" s="89" t="s">
        <v>855</v>
      </c>
      <c r="F901" s="89" t="s">
        <v>867</v>
      </c>
      <c r="G901" s="89" t="s">
        <v>867</v>
      </c>
      <c r="H901" s="93" t="s">
        <v>2209</v>
      </c>
    </row>
    <row r="902" spans="2:8" x14ac:dyDescent="0.25">
      <c r="B902" s="89" t="s">
        <v>80</v>
      </c>
      <c r="C902" s="89" t="s">
        <v>81</v>
      </c>
      <c r="D902" s="89" t="s">
        <v>32</v>
      </c>
      <c r="E902" s="89" t="s">
        <v>855</v>
      </c>
      <c r="F902" s="89" t="s">
        <v>867</v>
      </c>
      <c r="G902" s="89" t="s">
        <v>867</v>
      </c>
      <c r="H902" s="93" t="s">
        <v>2210</v>
      </c>
    </row>
    <row r="903" spans="2:8" x14ac:dyDescent="0.25">
      <c r="B903" s="89" t="s">
        <v>80</v>
      </c>
      <c r="C903" s="89" t="s">
        <v>81</v>
      </c>
      <c r="D903" s="89" t="s">
        <v>32</v>
      </c>
      <c r="E903" s="89" t="s">
        <v>855</v>
      </c>
      <c r="F903" s="89" t="s">
        <v>867</v>
      </c>
      <c r="G903" s="89" t="s">
        <v>867</v>
      </c>
      <c r="H903" s="93" t="s">
        <v>2211</v>
      </c>
    </row>
    <row r="904" spans="2:8" x14ac:dyDescent="0.25">
      <c r="B904" s="89" t="s">
        <v>80</v>
      </c>
      <c r="C904" s="89" t="s">
        <v>81</v>
      </c>
      <c r="D904" s="89" t="s">
        <v>32</v>
      </c>
      <c r="E904" s="89" t="s">
        <v>855</v>
      </c>
      <c r="F904" s="89" t="s">
        <v>867</v>
      </c>
      <c r="G904" s="89" t="s">
        <v>867</v>
      </c>
      <c r="H904" s="93" t="s">
        <v>2212</v>
      </c>
    </row>
    <row r="905" spans="2:8" x14ac:dyDescent="0.25">
      <c r="B905" s="89" t="s">
        <v>80</v>
      </c>
      <c r="C905" s="89" t="s">
        <v>81</v>
      </c>
      <c r="D905" s="89" t="s">
        <v>32</v>
      </c>
      <c r="E905" s="89" t="s">
        <v>855</v>
      </c>
      <c r="F905" s="89" t="s">
        <v>867</v>
      </c>
      <c r="G905" s="89" t="s">
        <v>2213</v>
      </c>
      <c r="H905" s="93" t="s">
        <v>2214</v>
      </c>
    </row>
    <row r="906" spans="2:8" x14ac:dyDescent="0.25">
      <c r="B906" s="89" t="s">
        <v>80</v>
      </c>
      <c r="C906" s="89" t="s">
        <v>81</v>
      </c>
      <c r="D906" s="89" t="s">
        <v>32</v>
      </c>
      <c r="E906" s="89" t="s">
        <v>855</v>
      </c>
      <c r="F906" s="89" t="s">
        <v>867</v>
      </c>
      <c r="G906" s="89" t="s">
        <v>2215</v>
      </c>
      <c r="H906" s="93" t="s">
        <v>2216</v>
      </c>
    </row>
    <row r="907" spans="2:8" x14ac:dyDescent="0.25">
      <c r="B907" s="89" t="s">
        <v>80</v>
      </c>
      <c r="C907" s="89" t="s">
        <v>81</v>
      </c>
      <c r="D907" s="89" t="s">
        <v>32</v>
      </c>
      <c r="E907" s="89" t="s">
        <v>855</v>
      </c>
      <c r="F907" s="89" t="s">
        <v>867</v>
      </c>
      <c r="G907" s="89" t="s">
        <v>2217</v>
      </c>
      <c r="H907" s="93" t="s">
        <v>2218</v>
      </c>
    </row>
    <row r="908" spans="2:8" x14ac:dyDescent="0.25">
      <c r="B908" s="89" t="s">
        <v>80</v>
      </c>
      <c r="C908" s="89" t="s">
        <v>81</v>
      </c>
      <c r="D908" s="89" t="s">
        <v>32</v>
      </c>
      <c r="E908" s="89" t="s">
        <v>855</v>
      </c>
      <c r="F908" s="89" t="s">
        <v>867</v>
      </c>
      <c r="G908" s="89" t="s">
        <v>867</v>
      </c>
      <c r="H908" s="93" t="s">
        <v>2219</v>
      </c>
    </row>
    <row r="909" spans="2:8" x14ac:dyDescent="0.25">
      <c r="B909" s="89" t="s">
        <v>80</v>
      </c>
      <c r="C909" s="89" t="s">
        <v>81</v>
      </c>
      <c r="D909" s="89" t="s">
        <v>32</v>
      </c>
      <c r="E909" s="89" t="s">
        <v>855</v>
      </c>
      <c r="F909" s="89" t="s">
        <v>867</v>
      </c>
      <c r="G909" s="89" t="s">
        <v>2220</v>
      </c>
      <c r="H909" s="93" t="s">
        <v>2221</v>
      </c>
    </row>
    <row r="910" spans="2:8" x14ac:dyDescent="0.25">
      <c r="B910" s="89" t="s">
        <v>80</v>
      </c>
      <c r="C910" s="89" t="s">
        <v>81</v>
      </c>
      <c r="D910" s="89" t="s">
        <v>32</v>
      </c>
      <c r="E910" s="89" t="s">
        <v>855</v>
      </c>
      <c r="F910" s="89" t="s">
        <v>867</v>
      </c>
      <c r="G910" s="89" t="s">
        <v>2222</v>
      </c>
      <c r="H910" s="93" t="s">
        <v>2223</v>
      </c>
    </row>
    <row r="911" spans="2:8" x14ac:dyDescent="0.25">
      <c r="B911" s="89" t="s">
        <v>80</v>
      </c>
      <c r="C911" s="89" t="s">
        <v>81</v>
      </c>
      <c r="D911" s="89" t="s">
        <v>32</v>
      </c>
      <c r="E911" s="89" t="s">
        <v>855</v>
      </c>
      <c r="F911" s="89" t="s">
        <v>867</v>
      </c>
      <c r="G911" s="89" t="s">
        <v>2224</v>
      </c>
      <c r="H911" s="93" t="s">
        <v>2225</v>
      </c>
    </row>
    <row r="912" spans="2:8" x14ac:dyDescent="0.25">
      <c r="B912" s="89" t="s">
        <v>80</v>
      </c>
      <c r="C912" s="89" t="s">
        <v>81</v>
      </c>
      <c r="D912" s="89" t="s">
        <v>32</v>
      </c>
      <c r="E912" s="89" t="s">
        <v>855</v>
      </c>
      <c r="F912" s="89" t="s">
        <v>867</v>
      </c>
      <c r="G912" s="89" t="s">
        <v>2226</v>
      </c>
      <c r="H912" s="93" t="s">
        <v>2227</v>
      </c>
    </row>
    <row r="913" spans="2:8" x14ac:dyDescent="0.25">
      <c r="B913" s="89" t="s">
        <v>80</v>
      </c>
      <c r="C913" s="89" t="s">
        <v>81</v>
      </c>
      <c r="D913" s="89" t="s">
        <v>32</v>
      </c>
      <c r="E913" s="89" t="s">
        <v>855</v>
      </c>
      <c r="F913" s="89" t="s">
        <v>867</v>
      </c>
      <c r="G913" s="89" t="s">
        <v>2228</v>
      </c>
      <c r="H913" s="93" t="s">
        <v>2229</v>
      </c>
    </row>
    <row r="914" spans="2:8" x14ac:dyDescent="0.25">
      <c r="B914" s="89" t="s">
        <v>80</v>
      </c>
      <c r="C914" s="89" t="s">
        <v>81</v>
      </c>
      <c r="D914" s="89" t="s">
        <v>32</v>
      </c>
      <c r="E914" s="89" t="s">
        <v>855</v>
      </c>
      <c r="F914" s="89" t="s">
        <v>867</v>
      </c>
      <c r="G914" s="89" t="s">
        <v>2230</v>
      </c>
      <c r="H914" s="93" t="s">
        <v>2231</v>
      </c>
    </row>
    <row r="915" spans="2:8" x14ac:dyDescent="0.25">
      <c r="B915" s="89" t="s">
        <v>80</v>
      </c>
      <c r="C915" s="89" t="s">
        <v>81</v>
      </c>
      <c r="D915" s="89" t="s">
        <v>32</v>
      </c>
      <c r="E915" s="89" t="s">
        <v>855</v>
      </c>
      <c r="F915" s="89" t="s">
        <v>867</v>
      </c>
      <c r="G915" s="89" t="s">
        <v>2232</v>
      </c>
      <c r="H915" s="93" t="s">
        <v>2233</v>
      </c>
    </row>
    <row r="916" spans="2:8" x14ac:dyDescent="0.25">
      <c r="B916" s="89" t="s">
        <v>80</v>
      </c>
      <c r="C916" s="89" t="s">
        <v>81</v>
      </c>
      <c r="D916" s="89" t="s">
        <v>32</v>
      </c>
      <c r="E916" s="89" t="s">
        <v>855</v>
      </c>
      <c r="F916" s="89" t="s">
        <v>867</v>
      </c>
      <c r="G916" s="89" t="s">
        <v>2234</v>
      </c>
      <c r="H916" s="93" t="s">
        <v>2235</v>
      </c>
    </row>
    <row r="917" spans="2:8" x14ac:dyDescent="0.25">
      <c r="B917" s="89" t="s">
        <v>80</v>
      </c>
      <c r="C917" s="89" t="s">
        <v>81</v>
      </c>
      <c r="D917" s="89" t="s">
        <v>32</v>
      </c>
      <c r="E917" s="89" t="s">
        <v>855</v>
      </c>
      <c r="F917" s="89" t="s">
        <v>867</v>
      </c>
      <c r="G917" s="89" t="s">
        <v>2236</v>
      </c>
      <c r="H917" s="93" t="s">
        <v>2237</v>
      </c>
    </row>
    <row r="918" spans="2:8" x14ac:dyDescent="0.25">
      <c r="B918" s="89" t="s">
        <v>80</v>
      </c>
      <c r="C918" s="89" t="s">
        <v>81</v>
      </c>
      <c r="D918" s="89" t="s">
        <v>32</v>
      </c>
      <c r="E918" s="89" t="s">
        <v>855</v>
      </c>
      <c r="F918" s="89" t="s">
        <v>867</v>
      </c>
      <c r="G918" s="89" t="s">
        <v>2238</v>
      </c>
      <c r="H918" s="93" t="s">
        <v>2239</v>
      </c>
    </row>
    <row r="919" spans="2:8" x14ac:dyDescent="0.25">
      <c r="B919" s="89" t="s">
        <v>80</v>
      </c>
      <c r="C919" s="89" t="s">
        <v>81</v>
      </c>
      <c r="D919" s="89" t="s">
        <v>32</v>
      </c>
      <c r="E919" s="89" t="s">
        <v>855</v>
      </c>
      <c r="F919" s="89" t="s">
        <v>867</v>
      </c>
      <c r="G919" s="89" t="s">
        <v>2240</v>
      </c>
      <c r="H919" s="93" t="s">
        <v>2241</v>
      </c>
    </row>
    <row r="920" spans="2:8" x14ac:dyDescent="0.25">
      <c r="B920" s="89" t="s">
        <v>80</v>
      </c>
      <c r="C920" s="89" t="s">
        <v>81</v>
      </c>
      <c r="D920" s="89" t="s">
        <v>32</v>
      </c>
      <c r="E920" s="89" t="s">
        <v>855</v>
      </c>
      <c r="F920" s="89" t="s">
        <v>867</v>
      </c>
      <c r="G920" s="89" t="s">
        <v>2242</v>
      </c>
      <c r="H920" s="93" t="s">
        <v>2243</v>
      </c>
    </row>
    <row r="921" spans="2:8" x14ac:dyDescent="0.25">
      <c r="B921" s="89" t="s">
        <v>80</v>
      </c>
      <c r="C921" s="89" t="s">
        <v>81</v>
      </c>
      <c r="D921" s="89" t="s">
        <v>32</v>
      </c>
      <c r="E921" s="89" t="s">
        <v>855</v>
      </c>
      <c r="F921" s="89" t="s">
        <v>867</v>
      </c>
      <c r="G921" s="89" t="s">
        <v>2244</v>
      </c>
      <c r="H921" s="93" t="s">
        <v>2245</v>
      </c>
    </row>
    <row r="922" spans="2:8" x14ac:dyDescent="0.25">
      <c r="B922" s="89" t="s">
        <v>80</v>
      </c>
      <c r="C922" s="89" t="s">
        <v>81</v>
      </c>
      <c r="D922" s="89" t="s">
        <v>32</v>
      </c>
      <c r="E922" s="89" t="s">
        <v>855</v>
      </c>
      <c r="F922" s="89" t="s">
        <v>867</v>
      </c>
      <c r="G922" s="89" t="s">
        <v>2246</v>
      </c>
      <c r="H922" s="93" t="s">
        <v>720</v>
      </c>
    </row>
    <row r="923" spans="2:8" x14ac:dyDescent="0.25">
      <c r="B923" s="89" t="s">
        <v>80</v>
      </c>
      <c r="C923" s="89" t="s">
        <v>81</v>
      </c>
      <c r="D923" s="89" t="s">
        <v>32</v>
      </c>
      <c r="E923" s="89" t="s">
        <v>855</v>
      </c>
      <c r="F923" s="89" t="s">
        <v>867</v>
      </c>
      <c r="G923" s="89" t="s">
        <v>2247</v>
      </c>
      <c r="H923" s="93" t="s">
        <v>2248</v>
      </c>
    </row>
    <row r="924" spans="2:8" x14ac:dyDescent="0.25">
      <c r="B924" s="89" t="s">
        <v>80</v>
      </c>
      <c r="C924" s="89" t="s">
        <v>81</v>
      </c>
      <c r="D924" s="89" t="s">
        <v>32</v>
      </c>
      <c r="E924" s="89" t="s">
        <v>855</v>
      </c>
      <c r="F924" s="89" t="s">
        <v>867</v>
      </c>
      <c r="G924" s="89" t="s">
        <v>2249</v>
      </c>
      <c r="H924" s="93" t="s">
        <v>718</v>
      </c>
    </row>
    <row r="925" spans="2:8" x14ac:dyDescent="0.25">
      <c r="B925" s="89" t="s">
        <v>80</v>
      </c>
      <c r="C925" s="89" t="s">
        <v>81</v>
      </c>
      <c r="D925" s="89" t="s">
        <v>32</v>
      </c>
      <c r="E925" s="89" t="s">
        <v>855</v>
      </c>
      <c r="F925" s="89" t="s">
        <v>867</v>
      </c>
      <c r="G925" s="89" t="s">
        <v>2250</v>
      </c>
      <c r="H925" s="93" t="s">
        <v>2251</v>
      </c>
    </row>
    <row r="926" spans="2:8" x14ac:dyDescent="0.25">
      <c r="B926" s="89" t="s">
        <v>80</v>
      </c>
      <c r="C926" s="89" t="s">
        <v>81</v>
      </c>
      <c r="D926" s="89" t="s">
        <v>32</v>
      </c>
      <c r="E926" s="89" t="s">
        <v>855</v>
      </c>
      <c r="F926" s="89" t="s">
        <v>867</v>
      </c>
      <c r="G926" s="89" t="s">
        <v>2252</v>
      </c>
      <c r="H926" s="93" t="s">
        <v>2253</v>
      </c>
    </row>
    <row r="927" spans="2:8" x14ac:dyDescent="0.25">
      <c r="B927" s="89" t="s">
        <v>80</v>
      </c>
      <c r="C927" s="89" t="s">
        <v>81</v>
      </c>
      <c r="D927" s="89" t="s">
        <v>32</v>
      </c>
      <c r="E927" s="89" t="s">
        <v>855</v>
      </c>
      <c r="F927" s="89" t="s">
        <v>867</v>
      </c>
      <c r="G927" s="89" t="s">
        <v>2254</v>
      </c>
      <c r="H927" s="93" t="s">
        <v>2255</v>
      </c>
    </row>
    <row r="928" spans="2:8" x14ac:dyDescent="0.25">
      <c r="B928" s="89" t="s">
        <v>80</v>
      </c>
      <c r="C928" s="89" t="s">
        <v>81</v>
      </c>
      <c r="D928" s="89" t="s">
        <v>32</v>
      </c>
      <c r="E928" s="89" t="s">
        <v>855</v>
      </c>
      <c r="F928" s="89" t="s">
        <v>867</v>
      </c>
      <c r="G928" s="89" t="s">
        <v>2256</v>
      </c>
      <c r="H928" s="93" t="s">
        <v>2257</v>
      </c>
    </row>
    <row r="929" spans="2:8" x14ac:dyDescent="0.25">
      <c r="B929" s="89" t="s">
        <v>80</v>
      </c>
      <c r="C929" s="89" t="s">
        <v>81</v>
      </c>
      <c r="D929" s="89" t="s">
        <v>32</v>
      </c>
      <c r="E929" s="89" t="s">
        <v>855</v>
      </c>
      <c r="F929" s="89" t="s">
        <v>867</v>
      </c>
      <c r="G929" s="89" t="s">
        <v>2258</v>
      </c>
      <c r="H929" s="93" t="s">
        <v>2259</v>
      </c>
    </row>
    <row r="930" spans="2:8" x14ac:dyDescent="0.25">
      <c r="B930" s="89" t="s">
        <v>80</v>
      </c>
      <c r="C930" s="89" t="s">
        <v>81</v>
      </c>
      <c r="D930" s="89" t="s">
        <v>32</v>
      </c>
      <c r="E930" s="89" t="s">
        <v>855</v>
      </c>
      <c r="F930" s="89" t="s">
        <v>867</v>
      </c>
      <c r="G930" s="89" t="s">
        <v>2260</v>
      </c>
      <c r="H930" s="93" t="s">
        <v>2261</v>
      </c>
    </row>
    <row r="931" spans="2:8" x14ac:dyDescent="0.25">
      <c r="B931" s="89" t="s">
        <v>80</v>
      </c>
      <c r="C931" s="89" t="s">
        <v>81</v>
      </c>
      <c r="D931" s="89" t="s">
        <v>32</v>
      </c>
      <c r="E931" s="89" t="s">
        <v>855</v>
      </c>
      <c r="F931" s="89" t="s">
        <v>867</v>
      </c>
      <c r="G931" s="89" t="s">
        <v>2262</v>
      </c>
      <c r="H931" s="93" t="s">
        <v>2263</v>
      </c>
    </row>
    <row r="932" spans="2:8" x14ac:dyDescent="0.25">
      <c r="B932" s="89" t="s">
        <v>80</v>
      </c>
      <c r="C932" s="89" t="s">
        <v>81</v>
      </c>
      <c r="D932" s="89" t="s">
        <v>32</v>
      </c>
      <c r="E932" s="89" t="s">
        <v>855</v>
      </c>
      <c r="F932" s="89" t="s">
        <v>867</v>
      </c>
      <c r="G932" s="89" t="s">
        <v>2264</v>
      </c>
      <c r="H932" s="93" t="s">
        <v>2265</v>
      </c>
    </row>
    <row r="933" spans="2:8" x14ac:dyDescent="0.25">
      <c r="B933" s="89" t="s">
        <v>80</v>
      </c>
      <c r="C933" s="89" t="s">
        <v>81</v>
      </c>
      <c r="D933" s="89" t="s">
        <v>32</v>
      </c>
      <c r="E933" s="89" t="s">
        <v>855</v>
      </c>
      <c r="F933" s="89" t="s">
        <v>867</v>
      </c>
      <c r="G933" s="89" t="s">
        <v>723</v>
      </c>
      <c r="H933" s="93" t="s">
        <v>724</v>
      </c>
    </row>
    <row r="934" spans="2:8" x14ac:dyDescent="0.25">
      <c r="B934" s="89" t="s">
        <v>80</v>
      </c>
      <c r="C934" s="89" t="s">
        <v>81</v>
      </c>
      <c r="D934" s="89" t="s">
        <v>32</v>
      </c>
      <c r="E934" s="89" t="s">
        <v>855</v>
      </c>
      <c r="F934" s="89" t="s">
        <v>867</v>
      </c>
      <c r="G934" s="89" t="s">
        <v>2266</v>
      </c>
      <c r="H934" s="93" t="s">
        <v>2267</v>
      </c>
    </row>
  </sheetData>
  <conditionalFormatting sqref="H1:H1048576">
    <cfRule type="duplicateValues" dxfId="0" priority="1"/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5F54-A595-4553-A710-7F06C21B85CC}">
  <dimension ref="B4:H20"/>
  <sheetViews>
    <sheetView showGridLines="0" showRowColHeaders="0" topLeftCell="A4" workbookViewId="0"/>
  </sheetViews>
  <sheetFormatPr defaultRowHeight="15" x14ac:dyDescent="0.25"/>
  <cols>
    <col min="2" max="3" width="18.140625" customWidth="1"/>
    <col min="4" max="4" width="15.7109375" customWidth="1"/>
    <col min="5" max="5" width="7.7109375" bestFit="1" customWidth="1"/>
    <col min="6" max="6" width="17.7109375" customWidth="1"/>
    <col min="7" max="7" width="75.7109375" customWidth="1"/>
  </cols>
  <sheetData>
    <row r="4" spans="2:8" x14ac:dyDescent="0.25">
      <c r="B4" s="85" t="s">
        <v>2268</v>
      </c>
      <c r="C4" s="106"/>
      <c r="D4" s="77"/>
    </row>
    <row r="5" spans="2:8" x14ac:dyDescent="0.25">
      <c r="B5" s="81" t="str" cm="1">
        <f t="array" ref="B5">"Período: " &amp;TB_Data[Periodo] &amp;TB_Data[Periodo_Fechado_Aberto]</f>
        <v>Período: Maio/2026 - Parcial</v>
      </c>
      <c r="C5" s="83"/>
      <c r="D5" s="77"/>
    </row>
    <row r="6" spans="2:8" x14ac:dyDescent="0.25">
      <c r="B6" s="83" t="str" cm="1">
        <f t="array" ref="B6">"Data de referência: "&amp;TB_Data[Data]</f>
        <v>Data de referência: 26/05/2026</v>
      </c>
      <c r="C6" s="83"/>
    </row>
    <row r="7" spans="2:8" x14ac:dyDescent="0.25">
      <c r="B7" s="83"/>
      <c r="C7" s="83"/>
    </row>
    <row r="8" spans="2:8" ht="30" customHeight="1" x14ac:dyDescent="0.25">
      <c r="B8" s="92" t="s">
        <v>68</v>
      </c>
      <c r="C8" s="92" t="s">
        <v>2269</v>
      </c>
      <c r="D8" s="92" t="s">
        <v>69</v>
      </c>
      <c r="E8" s="92" t="s">
        <v>46</v>
      </c>
      <c r="F8" s="92" t="s">
        <v>2270</v>
      </c>
      <c r="G8" s="92" t="s">
        <v>2271</v>
      </c>
      <c r="H8" s="92" t="s">
        <v>2272</v>
      </c>
    </row>
    <row r="9" spans="2:8" x14ac:dyDescent="0.25">
      <c r="B9" s="89" t="s">
        <v>2273</v>
      </c>
      <c r="C9" s="89" t="s">
        <v>2274</v>
      </c>
      <c r="D9" s="89" t="s">
        <v>81</v>
      </c>
      <c r="E9" s="89" t="s">
        <v>34</v>
      </c>
      <c r="F9" s="89" t="s">
        <v>2275</v>
      </c>
      <c r="G9" s="89" t="s">
        <v>2276</v>
      </c>
      <c r="H9" s="89" t="s">
        <v>48</v>
      </c>
    </row>
    <row r="10" spans="2:8" x14ac:dyDescent="0.25">
      <c r="B10" s="89" t="s">
        <v>2273</v>
      </c>
      <c r="C10" s="89" t="s">
        <v>2274</v>
      </c>
      <c r="D10" s="89" t="s">
        <v>81</v>
      </c>
      <c r="E10" s="89" t="s">
        <v>34</v>
      </c>
      <c r="F10" s="89" t="s">
        <v>2277</v>
      </c>
      <c r="G10" s="89" t="s">
        <v>2278</v>
      </c>
      <c r="H10" s="89" t="s">
        <v>2279</v>
      </c>
    </row>
    <row r="11" spans="2:8" x14ac:dyDescent="0.25">
      <c r="B11" s="89" t="s">
        <v>2273</v>
      </c>
      <c r="C11" s="89" t="s">
        <v>2274</v>
      </c>
      <c r="D11" s="89" t="s">
        <v>81</v>
      </c>
      <c r="E11" s="89" t="s">
        <v>34</v>
      </c>
      <c r="F11" s="89" t="s">
        <v>2277</v>
      </c>
      <c r="G11" s="89" t="s">
        <v>2280</v>
      </c>
      <c r="H11" s="89" t="s">
        <v>2281</v>
      </c>
    </row>
    <row r="12" spans="2:8" x14ac:dyDescent="0.25">
      <c r="B12" s="89" t="s">
        <v>2273</v>
      </c>
      <c r="C12" s="89" t="s">
        <v>2274</v>
      </c>
      <c r="D12" s="89" t="s">
        <v>81</v>
      </c>
      <c r="E12" s="89" t="s">
        <v>33</v>
      </c>
      <c r="F12" s="89" t="s">
        <v>2275</v>
      </c>
      <c r="G12" s="89" t="s">
        <v>2282</v>
      </c>
      <c r="H12" s="89" t="s">
        <v>48</v>
      </c>
    </row>
    <row r="13" spans="2:8" x14ac:dyDescent="0.25">
      <c r="B13" s="89" t="s">
        <v>2273</v>
      </c>
      <c r="C13" s="89" t="s">
        <v>2274</v>
      </c>
      <c r="D13" s="89" t="s">
        <v>81</v>
      </c>
      <c r="E13" s="89" t="s">
        <v>33</v>
      </c>
      <c r="F13" s="89" t="s">
        <v>2277</v>
      </c>
      <c r="G13" s="89" t="s">
        <v>2283</v>
      </c>
      <c r="H13" s="89" t="s">
        <v>2284</v>
      </c>
    </row>
    <row r="14" spans="2:8" x14ac:dyDescent="0.25">
      <c r="B14" s="89" t="s">
        <v>2273</v>
      </c>
      <c r="C14" s="89" t="s">
        <v>2274</v>
      </c>
      <c r="D14" s="89" t="s">
        <v>81</v>
      </c>
      <c r="E14" s="89" t="s">
        <v>33</v>
      </c>
      <c r="F14" s="89" t="s">
        <v>2277</v>
      </c>
      <c r="G14" s="89" t="s">
        <v>2285</v>
      </c>
      <c r="H14" s="89" t="s">
        <v>2286</v>
      </c>
    </row>
    <row r="15" spans="2:8" x14ac:dyDescent="0.25">
      <c r="B15" s="89" t="s">
        <v>2273</v>
      </c>
      <c r="C15" s="89" t="s">
        <v>2274</v>
      </c>
      <c r="D15" s="89" t="s">
        <v>81</v>
      </c>
      <c r="E15" s="89" t="s">
        <v>35</v>
      </c>
      <c r="F15" s="89" t="s">
        <v>2275</v>
      </c>
      <c r="G15" s="89" t="s">
        <v>2287</v>
      </c>
      <c r="H15" s="89" t="s">
        <v>48</v>
      </c>
    </row>
    <row r="16" spans="2:8" x14ac:dyDescent="0.25">
      <c r="B16" s="89" t="s">
        <v>2273</v>
      </c>
      <c r="C16" s="89" t="s">
        <v>2274</v>
      </c>
      <c r="D16" s="89" t="s">
        <v>81</v>
      </c>
      <c r="E16" s="89" t="s">
        <v>35</v>
      </c>
      <c r="F16" s="89" t="s">
        <v>2277</v>
      </c>
      <c r="G16" s="89" t="s">
        <v>2288</v>
      </c>
      <c r="H16" s="89" t="s">
        <v>2289</v>
      </c>
    </row>
    <row r="17" spans="2:8" x14ac:dyDescent="0.25">
      <c r="B17" s="89" t="s">
        <v>2273</v>
      </c>
      <c r="C17" s="89" t="s">
        <v>2274</v>
      </c>
      <c r="D17" s="89" t="s">
        <v>81</v>
      </c>
      <c r="E17" s="89" t="s">
        <v>35</v>
      </c>
      <c r="F17" s="89" t="s">
        <v>2277</v>
      </c>
      <c r="G17" s="89" t="s">
        <v>2290</v>
      </c>
      <c r="H17" s="89" t="s">
        <v>2291</v>
      </c>
    </row>
    <row r="18" spans="2:8" x14ac:dyDescent="0.25">
      <c r="B18" s="89" t="s">
        <v>2273</v>
      </c>
      <c r="C18" s="89" t="s">
        <v>2274</v>
      </c>
      <c r="D18" s="89" t="s">
        <v>81</v>
      </c>
      <c r="E18" s="89" t="s">
        <v>32</v>
      </c>
      <c r="F18" s="89" t="s">
        <v>2275</v>
      </c>
      <c r="G18" s="89" t="s">
        <v>2292</v>
      </c>
      <c r="H18" s="89" t="s">
        <v>48</v>
      </c>
    </row>
    <row r="19" spans="2:8" x14ac:dyDescent="0.25">
      <c r="B19" s="89" t="s">
        <v>2273</v>
      </c>
      <c r="C19" s="89" t="s">
        <v>2274</v>
      </c>
      <c r="D19" s="89" t="s">
        <v>81</v>
      </c>
      <c r="E19" s="89" t="s">
        <v>32</v>
      </c>
      <c r="F19" s="89" t="s">
        <v>2277</v>
      </c>
      <c r="G19" s="89" t="s">
        <v>2293</v>
      </c>
      <c r="H19" s="89" t="s">
        <v>2294</v>
      </c>
    </row>
    <row r="20" spans="2:8" x14ac:dyDescent="0.25">
      <c r="B20" s="89" t="s">
        <v>2273</v>
      </c>
      <c r="C20" s="89" t="s">
        <v>2274</v>
      </c>
      <c r="D20" s="89" t="s">
        <v>81</v>
      </c>
      <c r="E20" s="89" t="s">
        <v>32</v>
      </c>
      <c r="F20" s="89" t="s">
        <v>2277</v>
      </c>
      <c r="G20" s="89" t="s">
        <v>2295</v>
      </c>
      <c r="H20" s="89" t="s">
        <v>2296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E870-B3F3-4E9D-BA14-8FB0B8C2C176}">
  <dimension ref="B4:P77"/>
  <sheetViews>
    <sheetView zoomScale="72" workbookViewId="0">
      <selection activeCell="F19" sqref="F19"/>
    </sheetView>
  </sheetViews>
  <sheetFormatPr defaultRowHeight="15" x14ac:dyDescent="0.25"/>
  <cols>
    <col min="2" max="2" width="17.140625" customWidth="1"/>
    <col min="3" max="3" width="17.28515625" customWidth="1"/>
    <col min="4" max="6" width="12.7109375" customWidth="1"/>
    <col min="7" max="7" width="11.85546875" customWidth="1"/>
    <col min="8" max="8" width="7.42578125" customWidth="1"/>
    <col min="9" max="9" width="7.7109375" bestFit="1" customWidth="1"/>
    <col min="10" max="11" width="18.7109375" customWidth="1"/>
    <col min="12" max="12" width="13.42578125" bestFit="1" customWidth="1"/>
    <col min="13" max="13" width="9.7109375" bestFit="1" customWidth="1"/>
    <col min="14" max="16" width="18.7109375" customWidth="1"/>
  </cols>
  <sheetData>
    <row r="4" spans="2:16" x14ac:dyDescent="0.25">
      <c r="B4" s="2" t="s">
        <v>2297</v>
      </c>
    </row>
    <row r="5" spans="2:16" x14ac:dyDescent="0.25">
      <c r="B5" s="81" t="str" cm="1">
        <f t="array" ref="B5">"Período: " &amp;TB_Data[Periodo] &amp;TB_Data[Periodo_Fechado_Aberto]</f>
        <v>Período: Maio/2026 - Parcial</v>
      </c>
      <c r="C5" s="77"/>
    </row>
    <row r="6" spans="2:16" x14ac:dyDescent="0.25">
      <c r="B6" s="83" t="str" cm="1">
        <f t="array" ref="B6">"Data de referência: "&amp;TB_Data[Data]</f>
        <v>Data de referência: 26/05/2026</v>
      </c>
      <c r="C6" s="77"/>
    </row>
    <row r="8" spans="2:16" ht="45" customHeight="1" x14ac:dyDescent="0.25">
      <c r="B8" s="92" t="s">
        <v>68</v>
      </c>
      <c r="C8" s="92" t="s">
        <v>69</v>
      </c>
      <c r="D8" s="92" t="s">
        <v>2298</v>
      </c>
      <c r="E8" s="92" t="s">
        <v>2299</v>
      </c>
      <c r="F8" s="92" t="s">
        <v>2300</v>
      </c>
      <c r="G8" s="92" t="s">
        <v>2301</v>
      </c>
      <c r="H8" s="92" t="s">
        <v>45</v>
      </c>
      <c r="I8" s="92" t="s">
        <v>46</v>
      </c>
      <c r="J8" s="92" t="s">
        <v>2302</v>
      </c>
      <c r="K8" s="92" t="s">
        <v>2303</v>
      </c>
      <c r="L8" s="92" t="s">
        <v>2304</v>
      </c>
      <c r="M8" s="92" t="s">
        <v>2305</v>
      </c>
      <c r="N8" s="92" t="s">
        <v>2306</v>
      </c>
      <c r="O8" s="92" t="s">
        <v>2307</v>
      </c>
      <c r="P8" s="92" t="s">
        <v>2308</v>
      </c>
    </row>
    <row r="9" spans="2:16" x14ac:dyDescent="0.25">
      <c r="B9" s="98" t="s">
        <v>80</v>
      </c>
      <c r="C9" s="98" t="s">
        <v>81</v>
      </c>
      <c r="D9" s="111" t="s">
        <v>2309</v>
      </c>
      <c r="E9" s="89" t="s">
        <v>2310</v>
      </c>
      <c r="F9" s="89">
        <v>4</v>
      </c>
      <c r="G9" s="89" t="s">
        <v>48</v>
      </c>
      <c r="H9" s="97" t="s">
        <v>2311</v>
      </c>
      <c r="I9" s="97" t="s">
        <v>34</v>
      </c>
      <c r="J9" s="96">
        <v>9500</v>
      </c>
      <c r="K9" s="96"/>
      <c r="L9" s="97">
        <v>0</v>
      </c>
      <c r="M9" s="98">
        <v>0</v>
      </c>
      <c r="N9" s="98">
        <v>0</v>
      </c>
      <c r="O9" s="98">
        <v>0</v>
      </c>
      <c r="P9" s="97">
        <v>0</v>
      </c>
    </row>
    <row r="10" spans="2:16" x14ac:dyDescent="0.25">
      <c r="B10" s="98" t="s">
        <v>80</v>
      </c>
      <c r="C10" s="98" t="s">
        <v>81</v>
      </c>
      <c r="D10" s="111" t="s">
        <v>2312</v>
      </c>
      <c r="E10" s="89" t="s">
        <v>15</v>
      </c>
      <c r="F10" s="89">
        <v>9</v>
      </c>
      <c r="G10" s="89" t="s">
        <v>48</v>
      </c>
      <c r="H10" s="97" t="s">
        <v>2311</v>
      </c>
      <c r="I10" s="97" t="s">
        <v>34</v>
      </c>
      <c r="J10" s="96">
        <v>9500</v>
      </c>
      <c r="K10" s="96"/>
      <c r="L10" s="97">
        <v>0</v>
      </c>
      <c r="M10" s="98">
        <v>0</v>
      </c>
      <c r="N10" s="98">
        <v>0</v>
      </c>
      <c r="O10" s="98">
        <v>0</v>
      </c>
      <c r="P10" s="97">
        <v>0</v>
      </c>
    </row>
    <row r="11" spans="2:16" x14ac:dyDescent="0.25">
      <c r="B11" s="98" t="s">
        <v>80</v>
      </c>
      <c r="C11" s="98" t="s">
        <v>81</v>
      </c>
      <c r="D11" s="111" t="s">
        <v>2313</v>
      </c>
      <c r="E11" s="89" t="s">
        <v>15</v>
      </c>
      <c r="F11" s="89">
        <v>13</v>
      </c>
      <c r="G11" s="89" t="s">
        <v>48</v>
      </c>
      <c r="H11" s="97" t="s">
        <v>2311</v>
      </c>
      <c r="I11" s="97" t="s">
        <v>34</v>
      </c>
      <c r="J11" s="96">
        <v>9500</v>
      </c>
      <c r="K11" s="96"/>
      <c r="L11" s="97">
        <v>0</v>
      </c>
      <c r="M11" s="98">
        <v>0</v>
      </c>
      <c r="N11" s="98">
        <v>0</v>
      </c>
      <c r="O11" s="98">
        <v>0</v>
      </c>
      <c r="P11" s="97">
        <v>0</v>
      </c>
    </row>
    <row r="12" spans="2:16" x14ac:dyDescent="0.25">
      <c r="B12" s="98" t="s">
        <v>80</v>
      </c>
      <c r="C12" s="98" t="s">
        <v>81</v>
      </c>
      <c r="D12" s="111" t="s">
        <v>2314</v>
      </c>
      <c r="E12" s="89" t="s">
        <v>2310</v>
      </c>
      <c r="F12" s="89">
        <v>4</v>
      </c>
      <c r="G12" s="89" t="s">
        <v>48</v>
      </c>
      <c r="H12" s="97" t="s">
        <v>2311</v>
      </c>
      <c r="I12" s="97" t="s">
        <v>34</v>
      </c>
      <c r="J12" s="96">
        <v>9500</v>
      </c>
      <c r="K12" s="96"/>
      <c r="L12" s="97">
        <v>0</v>
      </c>
      <c r="M12" s="98">
        <v>0</v>
      </c>
      <c r="N12" s="98">
        <v>0</v>
      </c>
      <c r="O12" s="98">
        <v>0</v>
      </c>
      <c r="P12" s="97">
        <v>0</v>
      </c>
    </row>
    <row r="13" spans="2:16" x14ac:dyDescent="0.25">
      <c r="B13" s="98" t="s">
        <v>80</v>
      </c>
      <c r="C13" s="98" t="s">
        <v>81</v>
      </c>
      <c r="D13" s="111" t="s">
        <v>2315</v>
      </c>
      <c r="E13" s="89" t="s">
        <v>15</v>
      </c>
      <c r="F13" s="89">
        <v>1</v>
      </c>
      <c r="G13" s="89" t="s">
        <v>48</v>
      </c>
      <c r="H13" s="97" t="s">
        <v>2311</v>
      </c>
      <c r="I13" s="97" t="s">
        <v>34</v>
      </c>
      <c r="J13" s="96">
        <v>9500</v>
      </c>
      <c r="K13" s="96"/>
      <c r="L13" s="97">
        <v>0</v>
      </c>
      <c r="M13" s="98">
        <v>0</v>
      </c>
      <c r="N13" s="98">
        <v>0</v>
      </c>
      <c r="O13" s="98">
        <v>0</v>
      </c>
      <c r="P13" s="97">
        <v>0</v>
      </c>
    </row>
    <row r="14" spans="2:16" x14ac:dyDescent="0.25">
      <c r="B14" s="98" t="s">
        <v>80</v>
      </c>
      <c r="C14" s="98" t="s">
        <v>81</v>
      </c>
      <c r="D14" s="111" t="s">
        <v>2316</v>
      </c>
      <c r="E14" s="89" t="s">
        <v>15</v>
      </c>
      <c r="F14" s="89">
        <v>6</v>
      </c>
      <c r="G14" s="89" t="s">
        <v>48</v>
      </c>
      <c r="H14" s="97" t="s">
        <v>2311</v>
      </c>
      <c r="I14" s="97" t="s">
        <v>34</v>
      </c>
      <c r="J14" s="96">
        <v>9500</v>
      </c>
      <c r="K14" s="96"/>
      <c r="L14" s="97">
        <v>0</v>
      </c>
      <c r="M14" s="98">
        <v>0</v>
      </c>
      <c r="N14" s="98">
        <v>0</v>
      </c>
      <c r="O14" s="98">
        <v>0</v>
      </c>
      <c r="P14" s="97">
        <v>0</v>
      </c>
    </row>
    <row r="15" spans="2:16" x14ac:dyDescent="0.25">
      <c r="B15" s="98" t="s">
        <v>80</v>
      </c>
      <c r="C15" s="98" t="s">
        <v>81</v>
      </c>
      <c r="D15" s="111" t="s">
        <v>2317</v>
      </c>
      <c r="E15" s="89" t="s">
        <v>2310</v>
      </c>
      <c r="F15" s="89">
        <v>2</v>
      </c>
      <c r="G15" s="89" t="s">
        <v>48</v>
      </c>
      <c r="H15" s="97" t="s">
        <v>2311</v>
      </c>
      <c r="I15" s="97" t="s">
        <v>34</v>
      </c>
      <c r="J15" s="96">
        <v>9500</v>
      </c>
      <c r="K15" s="96"/>
      <c r="L15" s="97">
        <v>0</v>
      </c>
      <c r="M15" s="98">
        <v>0</v>
      </c>
      <c r="N15" s="98">
        <v>0</v>
      </c>
      <c r="O15" s="98">
        <v>0</v>
      </c>
      <c r="P15" s="97">
        <v>0</v>
      </c>
    </row>
    <row r="16" spans="2:16" x14ac:dyDescent="0.25">
      <c r="B16" s="98" t="s">
        <v>80</v>
      </c>
      <c r="C16" s="98" t="s">
        <v>81</v>
      </c>
      <c r="D16" s="111" t="s">
        <v>2318</v>
      </c>
      <c r="E16" s="89" t="s">
        <v>15</v>
      </c>
      <c r="F16" s="89">
        <v>36</v>
      </c>
      <c r="G16" s="89" t="s">
        <v>48</v>
      </c>
      <c r="H16" s="97" t="s">
        <v>2311</v>
      </c>
      <c r="I16" s="97" t="s">
        <v>34</v>
      </c>
      <c r="J16" s="96">
        <v>9500</v>
      </c>
      <c r="K16" s="96"/>
      <c r="L16" s="97">
        <v>0</v>
      </c>
      <c r="M16" s="98">
        <v>0</v>
      </c>
      <c r="N16" s="98">
        <v>0</v>
      </c>
      <c r="O16" s="98">
        <v>0</v>
      </c>
      <c r="P16" s="97">
        <v>0</v>
      </c>
    </row>
    <row r="17" spans="2:16" x14ac:dyDescent="0.25">
      <c r="B17" s="98" t="s">
        <v>80</v>
      </c>
      <c r="C17" s="98" t="s">
        <v>81</v>
      </c>
      <c r="D17" s="111" t="s">
        <v>2319</v>
      </c>
      <c r="E17" s="89" t="s">
        <v>15</v>
      </c>
      <c r="F17" s="89">
        <v>8</v>
      </c>
      <c r="G17" s="89" t="s">
        <v>48</v>
      </c>
      <c r="H17" s="97" t="s">
        <v>2311</v>
      </c>
      <c r="I17" s="97" t="s">
        <v>34</v>
      </c>
      <c r="J17" s="96">
        <v>9500</v>
      </c>
      <c r="K17" s="96"/>
      <c r="L17" s="97">
        <v>0</v>
      </c>
      <c r="M17" s="98">
        <v>0</v>
      </c>
      <c r="N17" s="98">
        <v>0</v>
      </c>
      <c r="O17" s="98">
        <v>0</v>
      </c>
      <c r="P17" s="97">
        <v>0</v>
      </c>
    </row>
    <row r="18" spans="2:16" x14ac:dyDescent="0.25">
      <c r="B18" s="98" t="s">
        <v>80</v>
      </c>
      <c r="C18" s="98" t="s">
        <v>81</v>
      </c>
      <c r="D18" s="111" t="s">
        <v>2320</v>
      </c>
      <c r="E18" s="89" t="s">
        <v>15</v>
      </c>
      <c r="F18" s="89">
        <v>16</v>
      </c>
      <c r="G18" s="89" t="s">
        <v>48</v>
      </c>
      <c r="H18" s="97" t="s">
        <v>2311</v>
      </c>
      <c r="I18" s="97" t="s">
        <v>34</v>
      </c>
      <c r="J18" s="96">
        <v>9500</v>
      </c>
      <c r="K18" s="96"/>
      <c r="L18" s="97">
        <v>0</v>
      </c>
      <c r="M18" s="98">
        <v>0</v>
      </c>
      <c r="N18" s="98">
        <v>0</v>
      </c>
      <c r="O18" s="98">
        <v>0</v>
      </c>
      <c r="P18" s="97">
        <v>0</v>
      </c>
    </row>
    <row r="19" spans="2:16" x14ac:dyDescent="0.25">
      <c r="B19" s="98" t="s">
        <v>80</v>
      </c>
      <c r="C19" s="98" t="s">
        <v>81</v>
      </c>
      <c r="D19" s="111" t="s">
        <v>2321</v>
      </c>
      <c r="E19" s="89" t="s">
        <v>2310</v>
      </c>
      <c r="F19" s="89">
        <v>2</v>
      </c>
      <c r="G19" s="89" t="s">
        <v>48</v>
      </c>
      <c r="H19" s="97" t="s">
        <v>2311</v>
      </c>
      <c r="I19" s="97" t="s">
        <v>34</v>
      </c>
      <c r="J19" s="96">
        <v>9500</v>
      </c>
      <c r="K19" s="96"/>
      <c r="L19" s="97">
        <v>0</v>
      </c>
      <c r="M19" s="98">
        <v>0</v>
      </c>
      <c r="N19" s="98">
        <v>0</v>
      </c>
      <c r="O19" s="98">
        <v>0</v>
      </c>
      <c r="P19" s="97">
        <v>0</v>
      </c>
    </row>
    <row r="20" spans="2:16" x14ac:dyDescent="0.25">
      <c r="B20" s="98" t="s">
        <v>80</v>
      </c>
      <c r="C20" s="98" t="s">
        <v>81</v>
      </c>
      <c r="D20" s="111" t="s">
        <v>2322</v>
      </c>
      <c r="E20" s="89" t="s">
        <v>2310</v>
      </c>
      <c r="F20" s="89">
        <v>4</v>
      </c>
      <c r="G20" s="89" t="s">
        <v>48</v>
      </c>
      <c r="H20" s="97" t="s">
        <v>2311</v>
      </c>
      <c r="I20" s="97" t="s">
        <v>34</v>
      </c>
      <c r="J20" s="96">
        <v>9500</v>
      </c>
      <c r="K20" s="96"/>
      <c r="L20" s="97">
        <v>0</v>
      </c>
      <c r="M20" s="98">
        <v>0</v>
      </c>
      <c r="N20" s="98">
        <v>0</v>
      </c>
      <c r="O20" s="98">
        <v>0</v>
      </c>
      <c r="P20" s="97">
        <v>0</v>
      </c>
    </row>
    <row r="21" spans="2:16" x14ac:dyDescent="0.25">
      <c r="B21" s="98" t="s">
        <v>80</v>
      </c>
      <c r="C21" s="98" t="s">
        <v>81</v>
      </c>
      <c r="D21" s="111" t="s">
        <v>2323</v>
      </c>
      <c r="E21" s="89" t="s">
        <v>2310</v>
      </c>
      <c r="F21" s="89">
        <v>2</v>
      </c>
      <c r="G21" s="89" t="s">
        <v>48</v>
      </c>
      <c r="H21" s="97" t="s">
        <v>2311</v>
      </c>
      <c r="I21" s="97" t="s">
        <v>34</v>
      </c>
      <c r="J21" s="96">
        <v>9500</v>
      </c>
      <c r="K21" s="96"/>
      <c r="L21" s="97">
        <v>0</v>
      </c>
      <c r="M21" s="98">
        <v>0</v>
      </c>
      <c r="N21" s="98">
        <v>0</v>
      </c>
      <c r="O21" s="98">
        <v>0</v>
      </c>
      <c r="P21" s="97">
        <v>0</v>
      </c>
    </row>
    <row r="22" spans="2:16" x14ac:dyDescent="0.25">
      <c r="B22" s="98" t="s">
        <v>80</v>
      </c>
      <c r="C22" s="98" t="s">
        <v>81</v>
      </c>
      <c r="D22" s="111" t="s">
        <v>2324</v>
      </c>
      <c r="E22" s="89" t="s">
        <v>2310</v>
      </c>
      <c r="F22" s="89">
        <v>3</v>
      </c>
      <c r="G22" s="89" t="s">
        <v>48</v>
      </c>
      <c r="H22" s="97" t="s">
        <v>2311</v>
      </c>
      <c r="I22" s="97" t="s">
        <v>34</v>
      </c>
      <c r="J22" s="96">
        <v>9500</v>
      </c>
      <c r="K22" s="96"/>
      <c r="L22" s="97">
        <v>0</v>
      </c>
      <c r="M22" s="98">
        <v>0</v>
      </c>
      <c r="N22" s="98">
        <v>0</v>
      </c>
      <c r="O22" s="98">
        <v>0</v>
      </c>
      <c r="P22" s="97">
        <v>0</v>
      </c>
    </row>
    <row r="23" spans="2:16" x14ac:dyDescent="0.25">
      <c r="B23" s="98" t="s">
        <v>80</v>
      </c>
      <c r="C23" s="98" t="s">
        <v>81</v>
      </c>
      <c r="D23" s="111" t="s">
        <v>2325</v>
      </c>
      <c r="E23" s="89" t="s">
        <v>15</v>
      </c>
      <c r="F23" s="89">
        <v>10</v>
      </c>
      <c r="G23" s="89" t="s">
        <v>48</v>
      </c>
      <c r="H23" s="97" t="s">
        <v>2311</v>
      </c>
      <c r="I23" s="97" t="s">
        <v>34</v>
      </c>
      <c r="J23" s="96">
        <v>9500</v>
      </c>
      <c r="K23" s="96"/>
      <c r="L23" s="97">
        <v>0</v>
      </c>
      <c r="M23" s="98">
        <v>0</v>
      </c>
      <c r="N23" s="98">
        <v>0</v>
      </c>
      <c r="O23" s="98">
        <v>0</v>
      </c>
      <c r="P23" s="97">
        <v>0</v>
      </c>
    </row>
    <row r="24" spans="2:16" x14ac:dyDescent="0.25">
      <c r="B24" s="98" t="s">
        <v>80</v>
      </c>
      <c r="C24" s="98" t="s">
        <v>81</v>
      </c>
      <c r="D24" s="111" t="s">
        <v>2326</v>
      </c>
      <c r="E24" s="89" t="s">
        <v>2310</v>
      </c>
      <c r="F24" s="89">
        <v>1</v>
      </c>
      <c r="G24" s="89" t="s">
        <v>48</v>
      </c>
      <c r="H24" s="97" t="s">
        <v>2311</v>
      </c>
      <c r="I24" s="97" t="s">
        <v>34</v>
      </c>
      <c r="J24" s="96">
        <v>9500</v>
      </c>
      <c r="K24" s="96"/>
      <c r="L24" s="97">
        <v>0</v>
      </c>
      <c r="M24" s="98">
        <v>0</v>
      </c>
      <c r="N24" s="98">
        <v>0</v>
      </c>
      <c r="O24" s="98">
        <v>0</v>
      </c>
      <c r="P24" s="97">
        <v>0</v>
      </c>
    </row>
    <row r="25" spans="2:16" x14ac:dyDescent="0.25">
      <c r="B25" s="98" t="s">
        <v>80</v>
      </c>
      <c r="C25" s="98" t="s">
        <v>81</v>
      </c>
      <c r="D25" s="111" t="s">
        <v>2327</v>
      </c>
      <c r="E25" s="89" t="s">
        <v>15</v>
      </c>
      <c r="F25" s="89">
        <v>7</v>
      </c>
      <c r="G25" s="89" t="s">
        <v>48</v>
      </c>
      <c r="H25" s="97" t="s">
        <v>2311</v>
      </c>
      <c r="I25" s="97" t="s">
        <v>34</v>
      </c>
      <c r="J25" s="96">
        <v>9500</v>
      </c>
      <c r="K25" s="96"/>
      <c r="L25" s="97">
        <v>0</v>
      </c>
      <c r="M25" s="98">
        <v>0</v>
      </c>
      <c r="N25" s="98">
        <v>0</v>
      </c>
      <c r="O25" s="98">
        <v>0</v>
      </c>
      <c r="P25" s="97">
        <v>0</v>
      </c>
    </row>
    <row r="26" spans="2:16" x14ac:dyDescent="0.25">
      <c r="B26" s="98" t="s">
        <v>80</v>
      </c>
      <c r="C26" s="98" t="s">
        <v>81</v>
      </c>
      <c r="D26" s="111" t="s">
        <v>2328</v>
      </c>
      <c r="E26" s="89" t="s">
        <v>15</v>
      </c>
      <c r="F26" s="89">
        <v>8</v>
      </c>
      <c r="G26" s="89" t="s">
        <v>48</v>
      </c>
      <c r="H26" s="97" t="s">
        <v>2311</v>
      </c>
      <c r="I26" s="97" t="s">
        <v>34</v>
      </c>
      <c r="J26" s="96">
        <v>9500</v>
      </c>
      <c r="K26" s="96"/>
      <c r="L26" s="97">
        <v>0</v>
      </c>
      <c r="M26" s="98">
        <v>0</v>
      </c>
      <c r="N26" s="98">
        <v>0</v>
      </c>
      <c r="O26" s="98">
        <v>0</v>
      </c>
      <c r="P26" s="97">
        <v>0</v>
      </c>
    </row>
    <row r="27" spans="2:16" x14ac:dyDescent="0.25">
      <c r="B27" s="98" t="s">
        <v>80</v>
      </c>
      <c r="C27" s="98" t="s">
        <v>81</v>
      </c>
      <c r="D27" s="111" t="s">
        <v>2312</v>
      </c>
      <c r="E27" s="89" t="s">
        <v>15</v>
      </c>
      <c r="F27" s="89">
        <v>9</v>
      </c>
      <c r="G27" s="89" t="s">
        <v>48</v>
      </c>
      <c r="H27" s="97" t="s">
        <v>2311</v>
      </c>
      <c r="I27" s="97" t="s">
        <v>33</v>
      </c>
      <c r="J27" s="96">
        <v>1000</v>
      </c>
      <c r="K27" s="96"/>
      <c r="L27" s="97">
        <v>0</v>
      </c>
      <c r="M27" s="98">
        <v>0</v>
      </c>
      <c r="N27" s="98">
        <v>0</v>
      </c>
      <c r="O27" s="98">
        <v>0</v>
      </c>
      <c r="P27" s="97">
        <v>0</v>
      </c>
    </row>
    <row r="28" spans="2:16" x14ac:dyDescent="0.25">
      <c r="B28" s="98" t="s">
        <v>80</v>
      </c>
      <c r="C28" s="98" t="s">
        <v>81</v>
      </c>
      <c r="D28" s="111" t="s">
        <v>2313</v>
      </c>
      <c r="E28" s="89" t="s">
        <v>15</v>
      </c>
      <c r="F28" s="89">
        <v>3</v>
      </c>
      <c r="G28" s="89" t="s">
        <v>48</v>
      </c>
      <c r="H28" s="97" t="s">
        <v>2311</v>
      </c>
      <c r="I28" s="97" t="s">
        <v>33</v>
      </c>
      <c r="J28" s="96">
        <v>1000</v>
      </c>
      <c r="K28" s="96"/>
      <c r="L28" s="97">
        <v>0</v>
      </c>
      <c r="M28" s="98">
        <v>0</v>
      </c>
      <c r="N28" s="98">
        <v>0</v>
      </c>
      <c r="O28" s="98">
        <v>0</v>
      </c>
      <c r="P28" s="97">
        <v>0</v>
      </c>
    </row>
    <row r="29" spans="2:16" x14ac:dyDescent="0.25">
      <c r="B29" s="98" t="s">
        <v>80</v>
      </c>
      <c r="C29" s="98" t="s">
        <v>81</v>
      </c>
      <c r="D29" s="111" t="s">
        <v>2314</v>
      </c>
      <c r="E29" s="89" t="s">
        <v>2310</v>
      </c>
      <c r="F29" s="89">
        <v>4</v>
      </c>
      <c r="G29" s="89" t="s">
        <v>48</v>
      </c>
      <c r="H29" s="97" t="s">
        <v>2311</v>
      </c>
      <c r="I29" s="97" t="s">
        <v>33</v>
      </c>
      <c r="J29" s="96">
        <v>1000</v>
      </c>
      <c r="K29" s="96"/>
      <c r="L29" s="97">
        <v>0</v>
      </c>
      <c r="M29" s="98">
        <v>0</v>
      </c>
      <c r="N29" s="98">
        <v>0</v>
      </c>
      <c r="O29" s="98">
        <v>0</v>
      </c>
      <c r="P29" s="97">
        <v>0</v>
      </c>
    </row>
    <row r="30" spans="2:16" x14ac:dyDescent="0.25">
      <c r="B30" s="98" t="s">
        <v>80</v>
      </c>
      <c r="C30" s="98" t="s">
        <v>81</v>
      </c>
      <c r="D30" s="111" t="s">
        <v>2315</v>
      </c>
      <c r="E30" s="89" t="s">
        <v>15</v>
      </c>
      <c r="F30" s="89">
        <v>1</v>
      </c>
      <c r="G30" s="89" t="s">
        <v>48</v>
      </c>
      <c r="H30" s="97" t="s">
        <v>2311</v>
      </c>
      <c r="I30" s="97" t="s">
        <v>33</v>
      </c>
      <c r="J30" s="96">
        <v>1000</v>
      </c>
      <c r="K30" s="96"/>
      <c r="L30" s="97">
        <v>0</v>
      </c>
      <c r="M30" s="98">
        <v>0</v>
      </c>
      <c r="N30" s="98">
        <v>0</v>
      </c>
      <c r="O30" s="98">
        <v>0</v>
      </c>
      <c r="P30" s="97">
        <v>0</v>
      </c>
    </row>
    <row r="31" spans="2:16" x14ac:dyDescent="0.25">
      <c r="B31" s="98" t="s">
        <v>80</v>
      </c>
      <c r="C31" s="98" t="s">
        <v>81</v>
      </c>
      <c r="D31" s="111" t="s">
        <v>2316</v>
      </c>
      <c r="E31" s="89" t="s">
        <v>15</v>
      </c>
      <c r="F31" s="89">
        <v>6</v>
      </c>
      <c r="G31" s="89" t="s">
        <v>48</v>
      </c>
      <c r="H31" s="97" t="s">
        <v>2311</v>
      </c>
      <c r="I31" s="97" t="s">
        <v>33</v>
      </c>
      <c r="J31" s="96">
        <v>1000</v>
      </c>
      <c r="K31" s="96"/>
      <c r="L31" s="97">
        <v>0</v>
      </c>
      <c r="M31" s="98">
        <v>0</v>
      </c>
      <c r="N31" s="98">
        <v>0</v>
      </c>
      <c r="O31" s="98">
        <v>0</v>
      </c>
      <c r="P31" s="97">
        <v>0</v>
      </c>
    </row>
    <row r="32" spans="2:16" x14ac:dyDescent="0.25">
      <c r="B32" s="98" t="s">
        <v>80</v>
      </c>
      <c r="C32" s="98" t="s">
        <v>81</v>
      </c>
      <c r="D32" s="111" t="s">
        <v>2318</v>
      </c>
      <c r="E32" s="89" t="s">
        <v>15</v>
      </c>
      <c r="F32" s="89">
        <v>35</v>
      </c>
      <c r="G32" s="89" t="s">
        <v>48</v>
      </c>
      <c r="H32" s="97" t="s">
        <v>2311</v>
      </c>
      <c r="I32" s="97" t="s">
        <v>33</v>
      </c>
      <c r="J32" s="96">
        <v>1000</v>
      </c>
      <c r="K32" s="96"/>
      <c r="L32" s="97">
        <v>0</v>
      </c>
      <c r="M32" s="98">
        <v>0</v>
      </c>
      <c r="N32" s="98">
        <v>0</v>
      </c>
      <c r="O32" s="98">
        <v>0</v>
      </c>
      <c r="P32" s="97">
        <v>0</v>
      </c>
    </row>
    <row r="33" spans="2:16" x14ac:dyDescent="0.25">
      <c r="B33" s="98" t="s">
        <v>80</v>
      </c>
      <c r="C33" s="98" t="s">
        <v>81</v>
      </c>
      <c r="D33" s="111" t="s">
        <v>2319</v>
      </c>
      <c r="E33" s="89" t="s">
        <v>15</v>
      </c>
      <c r="F33" s="89">
        <v>7</v>
      </c>
      <c r="G33" s="89" t="s">
        <v>48</v>
      </c>
      <c r="H33" s="97" t="s">
        <v>2311</v>
      </c>
      <c r="I33" s="97" t="s">
        <v>33</v>
      </c>
      <c r="J33" s="96">
        <v>1000</v>
      </c>
      <c r="K33" s="96"/>
      <c r="L33" s="97">
        <v>0</v>
      </c>
      <c r="M33" s="98">
        <v>0</v>
      </c>
      <c r="N33" s="98">
        <v>0</v>
      </c>
      <c r="O33" s="98">
        <v>0</v>
      </c>
      <c r="P33" s="97">
        <v>0</v>
      </c>
    </row>
    <row r="34" spans="2:16" x14ac:dyDescent="0.25">
      <c r="B34" s="98" t="s">
        <v>80</v>
      </c>
      <c r="C34" s="98" t="s">
        <v>81</v>
      </c>
      <c r="D34" s="111" t="s">
        <v>2320</v>
      </c>
      <c r="E34" s="89" t="s">
        <v>15</v>
      </c>
      <c r="F34" s="89">
        <v>6</v>
      </c>
      <c r="G34" s="89" t="s">
        <v>48</v>
      </c>
      <c r="H34" s="97" t="s">
        <v>2311</v>
      </c>
      <c r="I34" s="97" t="s">
        <v>33</v>
      </c>
      <c r="J34" s="96">
        <v>1000</v>
      </c>
      <c r="K34" s="96"/>
      <c r="L34" s="97">
        <v>0</v>
      </c>
      <c r="M34" s="98">
        <v>0</v>
      </c>
      <c r="N34" s="98">
        <v>0</v>
      </c>
      <c r="O34" s="98">
        <v>0</v>
      </c>
      <c r="P34" s="97">
        <v>0</v>
      </c>
    </row>
    <row r="35" spans="2:16" x14ac:dyDescent="0.25">
      <c r="B35" s="98" t="s">
        <v>80</v>
      </c>
      <c r="C35" s="98" t="s">
        <v>81</v>
      </c>
      <c r="D35" s="111" t="s">
        <v>2321</v>
      </c>
      <c r="E35" s="89" t="s">
        <v>2310</v>
      </c>
      <c r="F35" s="89">
        <v>2</v>
      </c>
      <c r="G35" s="89" t="s">
        <v>48</v>
      </c>
      <c r="H35" s="97" t="s">
        <v>2311</v>
      </c>
      <c r="I35" s="97" t="s">
        <v>33</v>
      </c>
      <c r="J35" s="96">
        <v>1000</v>
      </c>
      <c r="K35" s="96"/>
      <c r="L35" s="97">
        <v>0</v>
      </c>
      <c r="M35" s="98">
        <v>0</v>
      </c>
      <c r="N35" s="98">
        <v>0</v>
      </c>
      <c r="O35" s="98">
        <v>0</v>
      </c>
      <c r="P35" s="97">
        <v>0</v>
      </c>
    </row>
    <row r="36" spans="2:16" x14ac:dyDescent="0.25">
      <c r="B36" s="98" t="s">
        <v>80</v>
      </c>
      <c r="C36" s="98" t="s">
        <v>81</v>
      </c>
      <c r="D36" s="111" t="s">
        <v>2323</v>
      </c>
      <c r="E36" s="89" t="s">
        <v>2310</v>
      </c>
      <c r="F36" s="89">
        <v>2</v>
      </c>
      <c r="G36" s="89" t="s">
        <v>48</v>
      </c>
      <c r="H36" s="97" t="s">
        <v>2311</v>
      </c>
      <c r="I36" s="97" t="s">
        <v>33</v>
      </c>
      <c r="J36" s="96">
        <v>1000</v>
      </c>
      <c r="K36" s="96"/>
      <c r="L36" s="97">
        <v>0</v>
      </c>
      <c r="M36" s="98">
        <v>0</v>
      </c>
      <c r="N36" s="98">
        <v>0</v>
      </c>
      <c r="O36" s="98">
        <v>0</v>
      </c>
      <c r="P36" s="97">
        <v>0</v>
      </c>
    </row>
    <row r="37" spans="2:16" x14ac:dyDescent="0.25">
      <c r="B37" s="98" t="s">
        <v>80</v>
      </c>
      <c r="C37" s="98" t="s">
        <v>81</v>
      </c>
      <c r="D37" s="111" t="s">
        <v>2324</v>
      </c>
      <c r="E37" s="89" t="s">
        <v>2310</v>
      </c>
      <c r="F37" s="89">
        <v>3</v>
      </c>
      <c r="G37" s="89" t="s">
        <v>48</v>
      </c>
      <c r="H37" s="97" t="s">
        <v>2311</v>
      </c>
      <c r="I37" s="97" t="s">
        <v>33</v>
      </c>
      <c r="J37" s="96">
        <v>1000</v>
      </c>
      <c r="K37" s="96"/>
      <c r="L37" s="97">
        <v>0</v>
      </c>
      <c r="M37" s="98">
        <v>0</v>
      </c>
      <c r="N37" s="98">
        <v>0</v>
      </c>
      <c r="O37" s="98">
        <v>0</v>
      </c>
      <c r="P37" s="97">
        <v>0</v>
      </c>
    </row>
    <row r="38" spans="2:16" x14ac:dyDescent="0.25">
      <c r="B38" s="98" t="s">
        <v>80</v>
      </c>
      <c r="C38" s="98" t="s">
        <v>81</v>
      </c>
      <c r="D38" s="111" t="s">
        <v>2325</v>
      </c>
      <c r="E38" s="89" t="s">
        <v>15</v>
      </c>
      <c r="F38" s="89">
        <v>10</v>
      </c>
      <c r="G38" s="89" t="s">
        <v>48</v>
      </c>
      <c r="H38" s="97" t="s">
        <v>2311</v>
      </c>
      <c r="I38" s="97" t="s">
        <v>33</v>
      </c>
      <c r="J38" s="96">
        <v>1000</v>
      </c>
      <c r="K38" s="96"/>
      <c r="L38" s="97">
        <v>0</v>
      </c>
      <c r="M38" s="98">
        <v>0</v>
      </c>
      <c r="N38" s="98">
        <v>0</v>
      </c>
      <c r="O38" s="98">
        <v>0</v>
      </c>
      <c r="P38" s="97">
        <v>0</v>
      </c>
    </row>
    <row r="39" spans="2:16" x14ac:dyDescent="0.25">
      <c r="B39" s="98" t="s">
        <v>80</v>
      </c>
      <c r="C39" s="98" t="s">
        <v>81</v>
      </c>
      <c r="D39" s="111" t="s">
        <v>2326</v>
      </c>
      <c r="E39" s="89" t="s">
        <v>2310</v>
      </c>
      <c r="F39" s="89">
        <v>1</v>
      </c>
      <c r="G39" s="89" t="s">
        <v>48</v>
      </c>
      <c r="H39" s="97" t="s">
        <v>2311</v>
      </c>
      <c r="I39" s="97" t="s">
        <v>33</v>
      </c>
      <c r="J39" s="96">
        <v>1000</v>
      </c>
      <c r="K39" s="96"/>
      <c r="L39" s="97">
        <v>0</v>
      </c>
      <c r="M39" s="98">
        <v>0</v>
      </c>
      <c r="N39" s="98">
        <v>0</v>
      </c>
      <c r="O39" s="98">
        <v>0</v>
      </c>
      <c r="P39" s="97">
        <v>0</v>
      </c>
    </row>
    <row r="40" spans="2:16" x14ac:dyDescent="0.25">
      <c r="B40" s="98" t="s">
        <v>80</v>
      </c>
      <c r="C40" s="98" t="s">
        <v>81</v>
      </c>
      <c r="D40" s="111" t="s">
        <v>2327</v>
      </c>
      <c r="E40" s="89" t="s">
        <v>15</v>
      </c>
      <c r="F40" s="89">
        <v>7</v>
      </c>
      <c r="G40" s="89" t="s">
        <v>48</v>
      </c>
      <c r="H40" s="97" t="s">
        <v>2311</v>
      </c>
      <c r="I40" s="97" t="s">
        <v>33</v>
      </c>
      <c r="J40" s="96">
        <v>1000</v>
      </c>
      <c r="K40" s="96"/>
      <c r="L40" s="97">
        <v>0</v>
      </c>
      <c r="M40" s="98">
        <v>0</v>
      </c>
      <c r="N40" s="98">
        <v>0</v>
      </c>
      <c r="O40" s="98">
        <v>0</v>
      </c>
      <c r="P40" s="97">
        <v>0</v>
      </c>
    </row>
    <row r="41" spans="2:16" x14ac:dyDescent="0.25">
      <c r="B41" s="98" t="s">
        <v>80</v>
      </c>
      <c r="C41" s="98" t="s">
        <v>81</v>
      </c>
      <c r="D41" s="111" t="s">
        <v>2328</v>
      </c>
      <c r="E41" s="89" t="s">
        <v>15</v>
      </c>
      <c r="F41" s="89">
        <v>4</v>
      </c>
      <c r="G41" s="89" t="s">
        <v>48</v>
      </c>
      <c r="H41" s="97" t="s">
        <v>2311</v>
      </c>
      <c r="I41" s="97" t="s">
        <v>33</v>
      </c>
      <c r="J41" s="96">
        <v>1000</v>
      </c>
      <c r="K41" s="96"/>
      <c r="L41" s="97">
        <v>0</v>
      </c>
      <c r="M41" s="98">
        <v>0</v>
      </c>
      <c r="N41" s="98">
        <v>0</v>
      </c>
      <c r="O41" s="98">
        <v>0</v>
      </c>
      <c r="P41" s="97">
        <v>0</v>
      </c>
    </row>
    <row r="42" spans="2:16" x14ac:dyDescent="0.25">
      <c r="B42" s="98" t="s">
        <v>80</v>
      </c>
      <c r="C42" s="98" t="s">
        <v>81</v>
      </c>
      <c r="D42" s="111" t="s">
        <v>2309</v>
      </c>
      <c r="E42" s="89" t="s">
        <v>2310</v>
      </c>
      <c r="F42" s="89">
        <v>4</v>
      </c>
      <c r="G42" s="89" t="s">
        <v>48</v>
      </c>
      <c r="H42" s="97" t="s">
        <v>2311</v>
      </c>
      <c r="I42" s="97" t="s">
        <v>35</v>
      </c>
      <c r="J42" s="96">
        <v>4000</v>
      </c>
      <c r="K42" s="96"/>
      <c r="L42" s="97">
        <v>0</v>
      </c>
      <c r="M42" s="98">
        <v>0</v>
      </c>
      <c r="N42" s="98">
        <v>0</v>
      </c>
      <c r="O42" s="98">
        <v>0</v>
      </c>
      <c r="P42" s="97">
        <v>0</v>
      </c>
    </row>
    <row r="43" spans="2:16" x14ac:dyDescent="0.25">
      <c r="B43" s="98" t="s">
        <v>80</v>
      </c>
      <c r="C43" s="98" t="s">
        <v>81</v>
      </c>
      <c r="D43" s="111" t="s">
        <v>2312</v>
      </c>
      <c r="E43" s="89" t="s">
        <v>15</v>
      </c>
      <c r="F43" s="89">
        <v>9</v>
      </c>
      <c r="G43" s="89" t="s">
        <v>48</v>
      </c>
      <c r="H43" s="97" t="s">
        <v>2311</v>
      </c>
      <c r="I43" s="97" t="s">
        <v>35</v>
      </c>
      <c r="J43" s="96">
        <v>4000</v>
      </c>
      <c r="K43" s="96"/>
      <c r="L43" s="97">
        <v>0</v>
      </c>
      <c r="M43" s="98">
        <v>0</v>
      </c>
      <c r="N43" s="98">
        <v>0</v>
      </c>
      <c r="O43" s="98">
        <v>0</v>
      </c>
      <c r="P43" s="97">
        <v>0</v>
      </c>
    </row>
    <row r="44" spans="2:16" x14ac:dyDescent="0.25">
      <c r="B44" s="98" t="s">
        <v>80</v>
      </c>
      <c r="C44" s="98" t="s">
        <v>81</v>
      </c>
      <c r="D44" s="111" t="s">
        <v>2313</v>
      </c>
      <c r="E44" s="89" t="s">
        <v>15</v>
      </c>
      <c r="F44" s="89">
        <v>13</v>
      </c>
      <c r="G44" s="89" t="s">
        <v>48</v>
      </c>
      <c r="H44" s="97" t="s">
        <v>2311</v>
      </c>
      <c r="I44" s="97" t="s">
        <v>35</v>
      </c>
      <c r="J44" s="96">
        <v>4000</v>
      </c>
      <c r="K44" s="96"/>
      <c r="L44" s="97">
        <v>0</v>
      </c>
      <c r="M44" s="98">
        <v>0</v>
      </c>
      <c r="N44" s="98">
        <v>0</v>
      </c>
      <c r="O44" s="98">
        <v>0</v>
      </c>
      <c r="P44" s="97">
        <v>0</v>
      </c>
    </row>
    <row r="45" spans="2:16" x14ac:dyDescent="0.25">
      <c r="B45" s="98" t="s">
        <v>80</v>
      </c>
      <c r="C45" s="98" t="s">
        <v>81</v>
      </c>
      <c r="D45" s="111" t="s">
        <v>2314</v>
      </c>
      <c r="E45" s="89" t="s">
        <v>2310</v>
      </c>
      <c r="F45" s="89">
        <v>4</v>
      </c>
      <c r="G45" s="89" t="s">
        <v>48</v>
      </c>
      <c r="H45" s="97" t="s">
        <v>2311</v>
      </c>
      <c r="I45" s="97" t="s">
        <v>35</v>
      </c>
      <c r="J45" s="96">
        <v>4000</v>
      </c>
      <c r="K45" s="96"/>
      <c r="L45" s="97">
        <v>0</v>
      </c>
      <c r="M45" s="98">
        <v>0</v>
      </c>
      <c r="N45" s="98">
        <v>0</v>
      </c>
      <c r="O45" s="98">
        <v>0</v>
      </c>
      <c r="P45" s="97">
        <v>0</v>
      </c>
    </row>
    <row r="46" spans="2:16" x14ac:dyDescent="0.25">
      <c r="B46" s="98" t="s">
        <v>80</v>
      </c>
      <c r="C46" s="98" t="s">
        <v>81</v>
      </c>
      <c r="D46" s="111" t="s">
        <v>2315</v>
      </c>
      <c r="E46" s="89" t="s">
        <v>15</v>
      </c>
      <c r="F46" s="89">
        <v>1</v>
      </c>
      <c r="G46" s="89" t="s">
        <v>48</v>
      </c>
      <c r="H46" s="97" t="s">
        <v>2311</v>
      </c>
      <c r="I46" s="97" t="s">
        <v>35</v>
      </c>
      <c r="J46" s="96">
        <v>4000</v>
      </c>
      <c r="K46" s="96"/>
      <c r="L46" s="97">
        <v>0</v>
      </c>
      <c r="M46" s="98">
        <v>0</v>
      </c>
      <c r="N46" s="98">
        <v>0</v>
      </c>
      <c r="O46" s="98">
        <v>0</v>
      </c>
      <c r="P46" s="97">
        <v>0</v>
      </c>
    </row>
    <row r="47" spans="2:16" x14ac:dyDescent="0.25">
      <c r="B47" s="98" t="s">
        <v>80</v>
      </c>
      <c r="C47" s="98" t="s">
        <v>81</v>
      </c>
      <c r="D47" s="111" t="s">
        <v>2316</v>
      </c>
      <c r="E47" s="89" t="s">
        <v>15</v>
      </c>
      <c r="F47" s="89">
        <v>6</v>
      </c>
      <c r="G47" s="89" t="s">
        <v>48</v>
      </c>
      <c r="H47" s="97" t="s">
        <v>2311</v>
      </c>
      <c r="I47" s="97" t="s">
        <v>35</v>
      </c>
      <c r="J47" s="96">
        <v>4000</v>
      </c>
      <c r="K47" s="96"/>
      <c r="L47" s="97">
        <v>0</v>
      </c>
      <c r="M47" s="98">
        <v>0</v>
      </c>
      <c r="N47" s="98">
        <v>0</v>
      </c>
      <c r="O47" s="98">
        <v>0</v>
      </c>
      <c r="P47" s="97">
        <v>0</v>
      </c>
    </row>
    <row r="48" spans="2:16" x14ac:dyDescent="0.25">
      <c r="B48" s="98" t="s">
        <v>80</v>
      </c>
      <c r="C48" s="98" t="s">
        <v>81</v>
      </c>
      <c r="D48" s="111" t="s">
        <v>2317</v>
      </c>
      <c r="E48" s="89" t="s">
        <v>2310</v>
      </c>
      <c r="F48" s="89">
        <v>2</v>
      </c>
      <c r="G48" s="89" t="s">
        <v>48</v>
      </c>
      <c r="H48" s="97" t="s">
        <v>2311</v>
      </c>
      <c r="I48" s="97" t="s">
        <v>35</v>
      </c>
      <c r="J48" s="96">
        <v>4000</v>
      </c>
      <c r="K48" s="96"/>
      <c r="L48" s="97">
        <v>0</v>
      </c>
      <c r="M48" s="98">
        <v>0</v>
      </c>
      <c r="N48" s="98">
        <v>0</v>
      </c>
      <c r="O48" s="98">
        <v>0</v>
      </c>
      <c r="P48" s="97">
        <v>0</v>
      </c>
    </row>
    <row r="49" spans="2:16" x14ac:dyDescent="0.25">
      <c r="B49" s="98" t="s">
        <v>80</v>
      </c>
      <c r="C49" s="98" t="s">
        <v>81</v>
      </c>
      <c r="D49" s="111" t="s">
        <v>2318</v>
      </c>
      <c r="E49" s="89" t="s">
        <v>15</v>
      </c>
      <c r="F49" s="89">
        <v>36</v>
      </c>
      <c r="G49" s="89" t="s">
        <v>48</v>
      </c>
      <c r="H49" s="97" t="s">
        <v>2311</v>
      </c>
      <c r="I49" s="97" t="s">
        <v>35</v>
      </c>
      <c r="J49" s="96">
        <v>4000</v>
      </c>
      <c r="K49" s="96"/>
      <c r="L49" s="97">
        <v>0</v>
      </c>
      <c r="M49" s="98">
        <v>0</v>
      </c>
      <c r="N49" s="98">
        <v>0</v>
      </c>
      <c r="O49" s="98">
        <v>0</v>
      </c>
      <c r="P49" s="97">
        <v>0</v>
      </c>
    </row>
    <row r="50" spans="2:16" x14ac:dyDescent="0.25">
      <c r="B50" s="98" t="s">
        <v>80</v>
      </c>
      <c r="C50" s="98" t="s">
        <v>81</v>
      </c>
      <c r="D50" s="111" t="s">
        <v>2319</v>
      </c>
      <c r="E50" s="89" t="s">
        <v>15</v>
      </c>
      <c r="F50" s="89">
        <v>8</v>
      </c>
      <c r="G50" s="89" t="s">
        <v>48</v>
      </c>
      <c r="H50" s="97" t="s">
        <v>2311</v>
      </c>
      <c r="I50" s="97" t="s">
        <v>35</v>
      </c>
      <c r="J50" s="96">
        <v>4000</v>
      </c>
      <c r="K50" s="96"/>
      <c r="L50" s="97">
        <v>0</v>
      </c>
      <c r="M50" s="98">
        <v>0</v>
      </c>
      <c r="N50" s="98">
        <v>0</v>
      </c>
      <c r="O50" s="98">
        <v>0</v>
      </c>
      <c r="P50" s="97">
        <v>0</v>
      </c>
    </row>
    <row r="51" spans="2:16" x14ac:dyDescent="0.25">
      <c r="B51" s="98" t="s">
        <v>80</v>
      </c>
      <c r="C51" s="98" t="s">
        <v>81</v>
      </c>
      <c r="D51" s="111" t="s">
        <v>2320</v>
      </c>
      <c r="E51" s="89" t="s">
        <v>15</v>
      </c>
      <c r="F51" s="89">
        <v>16</v>
      </c>
      <c r="G51" s="89" t="s">
        <v>48</v>
      </c>
      <c r="H51" s="97" t="s">
        <v>2311</v>
      </c>
      <c r="I51" s="97" t="s">
        <v>35</v>
      </c>
      <c r="J51" s="96">
        <v>4000</v>
      </c>
      <c r="K51" s="96"/>
      <c r="L51" s="97">
        <v>0</v>
      </c>
      <c r="M51" s="98">
        <v>0</v>
      </c>
      <c r="N51" s="98">
        <v>0</v>
      </c>
      <c r="O51" s="98">
        <v>0</v>
      </c>
      <c r="P51" s="97">
        <v>0</v>
      </c>
    </row>
    <row r="52" spans="2:16" x14ac:dyDescent="0.25">
      <c r="B52" s="98" t="s">
        <v>80</v>
      </c>
      <c r="C52" s="98" t="s">
        <v>81</v>
      </c>
      <c r="D52" s="111" t="s">
        <v>2321</v>
      </c>
      <c r="E52" s="89" t="s">
        <v>2310</v>
      </c>
      <c r="F52" s="89">
        <v>2</v>
      </c>
      <c r="G52" s="89" t="s">
        <v>48</v>
      </c>
      <c r="H52" s="97" t="s">
        <v>2311</v>
      </c>
      <c r="I52" s="97" t="s">
        <v>35</v>
      </c>
      <c r="J52" s="96">
        <v>4000</v>
      </c>
      <c r="K52" s="96"/>
      <c r="L52" s="97">
        <v>0</v>
      </c>
      <c r="M52" s="98">
        <v>0</v>
      </c>
      <c r="N52" s="98">
        <v>0</v>
      </c>
      <c r="O52" s="98">
        <v>0</v>
      </c>
      <c r="P52" s="97">
        <v>0</v>
      </c>
    </row>
    <row r="53" spans="2:16" x14ac:dyDescent="0.25">
      <c r="B53" s="98" t="s">
        <v>80</v>
      </c>
      <c r="C53" s="98" t="s">
        <v>81</v>
      </c>
      <c r="D53" s="111" t="s">
        <v>2322</v>
      </c>
      <c r="E53" s="89" t="s">
        <v>2310</v>
      </c>
      <c r="F53" s="89">
        <v>4</v>
      </c>
      <c r="G53" s="89" t="s">
        <v>48</v>
      </c>
      <c r="H53" s="97" t="s">
        <v>2311</v>
      </c>
      <c r="I53" s="97" t="s">
        <v>35</v>
      </c>
      <c r="J53" s="96">
        <v>4000</v>
      </c>
      <c r="K53" s="96"/>
      <c r="L53" s="97">
        <v>0</v>
      </c>
      <c r="M53" s="98">
        <v>0</v>
      </c>
      <c r="N53" s="98">
        <v>0</v>
      </c>
      <c r="O53" s="98">
        <v>0</v>
      </c>
      <c r="P53" s="97">
        <v>0</v>
      </c>
    </row>
    <row r="54" spans="2:16" x14ac:dyDescent="0.25">
      <c r="B54" s="98" t="s">
        <v>80</v>
      </c>
      <c r="C54" s="98" t="s">
        <v>81</v>
      </c>
      <c r="D54" s="111" t="s">
        <v>2323</v>
      </c>
      <c r="E54" s="89" t="s">
        <v>2310</v>
      </c>
      <c r="F54" s="89">
        <v>2</v>
      </c>
      <c r="G54" s="89" t="s">
        <v>48</v>
      </c>
      <c r="H54" s="97" t="s">
        <v>2311</v>
      </c>
      <c r="I54" s="97" t="s">
        <v>35</v>
      </c>
      <c r="J54" s="96">
        <v>4000</v>
      </c>
      <c r="K54" s="96"/>
      <c r="L54" s="97">
        <v>0</v>
      </c>
      <c r="M54" s="98">
        <v>0</v>
      </c>
      <c r="N54" s="98">
        <v>0</v>
      </c>
      <c r="O54" s="98">
        <v>0</v>
      </c>
      <c r="P54" s="97">
        <v>0</v>
      </c>
    </row>
    <row r="55" spans="2:16" x14ac:dyDescent="0.25">
      <c r="B55" s="98" t="s">
        <v>80</v>
      </c>
      <c r="C55" s="98" t="s">
        <v>81</v>
      </c>
      <c r="D55" s="111" t="s">
        <v>2324</v>
      </c>
      <c r="E55" s="89" t="s">
        <v>2310</v>
      </c>
      <c r="F55" s="89">
        <v>3</v>
      </c>
      <c r="G55" s="89" t="s">
        <v>48</v>
      </c>
      <c r="H55" s="97" t="s">
        <v>2311</v>
      </c>
      <c r="I55" s="97" t="s">
        <v>35</v>
      </c>
      <c r="J55" s="96">
        <v>4000</v>
      </c>
      <c r="K55" s="96"/>
      <c r="L55" s="97">
        <v>0</v>
      </c>
      <c r="M55" s="98">
        <v>0</v>
      </c>
      <c r="N55" s="98">
        <v>0</v>
      </c>
      <c r="O55" s="98">
        <v>0</v>
      </c>
      <c r="P55" s="97">
        <v>0</v>
      </c>
    </row>
    <row r="56" spans="2:16" x14ac:dyDescent="0.25">
      <c r="B56" s="98" t="s">
        <v>80</v>
      </c>
      <c r="C56" s="98" t="s">
        <v>81</v>
      </c>
      <c r="D56" s="111" t="s">
        <v>2325</v>
      </c>
      <c r="E56" s="89" t="s">
        <v>15</v>
      </c>
      <c r="F56" s="89">
        <v>10</v>
      </c>
      <c r="G56" s="89" t="s">
        <v>48</v>
      </c>
      <c r="H56" s="97" t="s">
        <v>2311</v>
      </c>
      <c r="I56" s="97" t="s">
        <v>35</v>
      </c>
      <c r="J56" s="96">
        <v>4000</v>
      </c>
      <c r="K56" s="96"/>
      <c r="L56" s="97">
        <v>0</v>
      </c>
      <c r="M56" s="98">
        <v>0</v>
      </c>
      <c r="N56" s="98">
        <v>0</v>
      </c>
      <c r="O56" s="98">
        <v>0</v>
      </c>
      <c r="P56" s="97">
        <v>0</v>
      </c>
    </row>
    <row r="57" spans="2:16" x14ac:dyDescent="0.25">
      <c r="B57" s="98" t="s">
        <v>80</v>
      </c>
      <c r="C57" s="98" t="s">
        <v>81</v>
      </c>
      <c r="D57" s="111" t="s">
        <v>2326</v>
      </c>
      <c r="E57" s="89" t="s">
        <v>2310</v>
      </c>
      <c r="F57" s="89">
        <v>1</v>
      </c>
      <c r="G57" s="89" t="s">
        <v>48</v>
      </c>
      <c r="H57" s="97" t="s">
        <v>2311</v>
      </c>
      <c r="I57" s="97" t="s">
        <v>35</v>
      </c>
      <c r="J57" s="96">
        <v>4000</v>
      </c>
      <c r="K57" s="96"/>
      <c r="L57" s="97">
        <v>0</v>
      </c>
      <c r="M57" s="98">
        <v>0</v>
      </c>
      <c r="N57" s="98">
        <v>0</v>
      </c>
      <c r="O57" s="98">
        <v>0</v>
      </c>
      <c r="P57" s="97">
        <v>0</v>
      </c>
    </row>
    <row r="58" spans="2:16" x14ac:dyDescent="0.25">
      <c r="B58" s="98" t="s">
        <v>80</v>
      </c>
      <c r="C58" s="98" t="s">
        <v>81</v>
      </c>
      <c r="D58" s="111" t="s">
        <v>2327</v>
      </c>
      <c r="E58" s="89" t="s">
        <v>15</v>
      </c>
      <c r="F58" s="89">
        <v>7</v>
      </c>
      <c r="G58" s="89" t="s">
        <v>48</v>
      </c>
      <c r="H58" s="97" t="s">
        <v>2311</v>
      </c>
      <c r="I58" s="97" t="s">
        <v>35</v>
      </c>
      <c r="J58" s="96">
        <v>4000</v>
      </c>
      <c r="K58" s="96"/>
      <c r="L58" s="97">
        <v>0</v>
      </c>
      <c r="M58" s="98">
        <v>0</v>
      </c>
      <c r="N58" s="98">
        <v>0</v>
      </c>
      <c r="O58" s="98">
        <v>0</v>
      </c>
      <c r="P58" s="97">
        <v>0</v>
      </c>
    </row>
    <row r="59" spans="2:16" x14ac:dyDescent="0.25">
      <c r="B59" s="98" t="s">
        <v>80</v>
      </c>
      <c r="C59" s="98" t="s">
        <v>81</v>
      </c>
      <c r="D59" s="111" t="s">
        <v>2328</v>
      </c>
      <c r="E59" s="89" t="s">
        <v>15</v>
      </c>
      <c r="F59" s="89">
        <v>8</v>
      </c>
      <c r="G59" s="89" t="s">
        <v>48</v>
      </c>
      <c r="H59" s="97" t="s">
        <v>2311</v>
      </c>
      <c r="I59" s="97" t="s">
        <v>35</v>
      </c>
      <c r="J59" s="96">
        <v>4000</v>
      </c>
      <c r="K59" s="96"/>
      <c r="L59" s="97">
        <v>0</v>
      </c>
      <c r="M59" s="98">
        <v>0</v>
      </c>
      <c r="N59" s="98">
        <v>0</v>
      </c>
      <c r="O59" s="98">
        <v>0</v>
      </c>
      <c r="P59" s="97">
        <v>0</v>
      </c>
    </row>
    <row r="60" spans="2:16" x14ac:dyDescent="0.25">
      <c r="B60" s="98" t="s">
        <v>80</v>
      </c>
      <c r="C60" s="98" t="s">
        <v>81</v>
      </c>
      <c r="D60" s="111" t="s">
        <v>2309</v>
      </c>
      <c r="E60" s="89" t="s">
        <v>2310</v>
      </c>
      <c r="F60" s="89">
        <v>4</v>
      </c>
      <c r="G60" s="89" t="s">
        <v>48</v>
      </c>
      <c r="H60" s="97" t="s">
        <v>2311</v>
      </c>
      <c r="I60" s="97" t="s">
        <v>32</v>
      </c>
      <c r="J60" s="96">
        <v>2700</v>
      </c>
      <c r="K60" s="96"/>
      <c r="L60" s="97">
        <v>0</v>
      </c>
      <c r="M60" s="98">
        <v>0</v>
      </c>
      <c r="N60" s="98">
        <v>0</v>
      </c>
      <c r="O60" s="98">
        <v>0</v>
      </c>
      <c r="P60" s="97">
        <v>0</v>
      </c>
    </row>
    <row r="61" spans="2:16" x14ac:dyDescent="0.25">
      <c r="B61" s="98" t="s">
        <v>80</v>
      </c>
      <c r="C61" s="98" t="s">
        <v>81</v>
      </c>
      <c r="D61" s="111" t="s">
        <v>2312</v>
      </c>
      <c r="E61" s="89" t="s">
        <v>15</v>
      </c>
      <c r="F61" s="89">
        <v>9</v>
      </c>
      <c r="G61" s="89" t="s">
        <v>48</v>
      </c>
      <c r="H61" s="97" t="s">
        <v>2311</v>
      </c>
      <c r="I61" s="97" t="s">
        <v>32</v>
      </c>
      <c r="J61" s="96">
        <v>2700</v>
      </c>
      <c r="K61" s="96"/>
      <c r="L61" s="97">
        <v>0</v>
      </c>
      <c r="M61" s="98">
        <v>0</v>
      </c>
      <c r="N61" s="98">
        <v>0</v>
      </c>
      <c r="O61" s="98">
        <v>0</v>
      </c>
      <c r="P61" s="97">
        <v>0</v>
      </c>
    </row>
    <row r="62" spans="2:16" x14ac:dyDescent="0.25">
      <c r="B62" s="98" t="s">
        <v>80</v>
      </c>
      <c r="C62" s="98" t="s">
        <v>81</v>
      </c>
      <c r="D62" s="111" t="s">
        <v>2313</v>
      </c>
      <c r="E62" s="89" t="s">
        <v>15</v>
      </c>
      <c r="F62" s="89">
        <v>13</v>
      </c>
      <c r="G62" s="89" t="s">
        <v>48</v>
      </c>
      <c r="H62" s="97" t="s">
        <v>2311</v>
      </c>
      <c r="I62" s="97" t="s">
        <v>32</v>
      </c>
      <c r="J62" s="96">
        <v>2700</v>
      </c>
      <c r="K62" s="96"/>
      <c r="L62" s="97">
        <v>0</v>
      </c>
      <c r="M62" s="98">
        <v>0</v>
      </c>
      <c r="N62" s="98">
        <v>0</v>
      </c>
      <c r="O62" s="98">
        <v>0</v>
      </c>
      <c r="P62" s="97">
        <v>0</v>
      </c>
    </row>
    <row r="63" spans="2:16" x14ac:dyDescent="0.25">
      <c r="B63" s="98" t="s">
        <v>80</v>
      </c>
      <c r="C63" s="98" t="s">
        <v>81</v>
      </c>
      <c r="D63" s="111" t="s">
        <v>2314</v>
      </c>
      <c r="E63" s="89" t="s">
        <v>2310</v>
      </c>
      <c r="F63" s="89">
        <v>4</v>
      </c>
      <c r="G63" s="89" t="s">
        <v>48</v>
      </c>
      <c r="H63" s="97" t="s">
        <v>2311</v>
      </c>
      <c r="I63" s="97" t="s">
        <v>32</v>
      </c>
      <c r="J63" s="96">
        <v>2700</v>
      </c>
      <c r="K63" s="96"/>
      <c r="L63" s="97">
        <v>0</v>
      </c>
      <c r="M63" s="98">
        <v>0</v>
      </c>
      <c r="N63" s="98">
        <v>0</v>
      </c>
      <c r="O63" s="98">
        <v>0</v>
      </c>
      <c r="P63" s="97">
        <v>0</v>
      </c>
    </row>
    <row r="64" spans="2:16" x14ac:dyDescent="0.25">
      <c r="B64" s="98" t="s">
        <v>80</v>
      </c>
      <c r="C64" s="98" t="s">
        <v>81</v>
      </c>
      <c r="D64" s="111" t="s">
        <v>2315</v>
      </c>
      <c r="E64" s="89" t="s">
        <v>15</v>
      </c>
      <c r="F64" s="89">
        <v>1</v>
      </c>
      <c r="G64" s="89" t="s">
        <v>48</v>
      </c>
      <c r="H64" s="97" t="s">
        <v>2311</v>
      </c>
      <c r="I64" s="97" t="s">
        <v>32</v>
      </c>
      <c r="J64" s="96">
        <v>2700</v>
      </c>
      <c r="K64" s="96"/>
      <c r="L64" s="97">
        <v>0</v>
      </c>
      <c r="M64" s="98">
        <v>0</v>
      </c>
      <c r="N64" s="98">
        <v>0</v>
      </c>
      <c r="O64" s="98">
        <v>0</v>
      </c>
      <c r="P64" s="97">
        <v>0</v>
      </c>
    </row>
    <row r="65" spans="2:16" x14ac:dyDescent="0.25">
      <c r="B65" s="98" t="s">
        <v>80</v>
      </c>
      <c r="C65" s="98" t="s">
        <v>81</v>
      </c>
      <c r="D65" s="111" t="s">
        <v>2316</v>
      </c>
      <c r="E65" s="89" t="s">
        <v>15</v>
      </c>
      <c r="F65" s="89">
        <v>6</v>
      </c>
      <c r="G65" s="89" t="s">
        <v>48</v>
      </c>
      <c r="H65" s="97" t="s">
        <v>2311</v>
      </c>
      <c r="I65" s="97" t="s">
        <v>32</v>
      </c>
      <c r="J65" s="96">
        <v>2700</v>
      </c>
      <c r="K65" s="96"/>
      <c r="L65" s="97">
        <v>0</v>
      </c>
      <c r="M65" s="98">
        <v>0</v>
      </c>
      <c r="N65" s="98">
        <v>0</v>
      </c>
      <c r="O65" s="98">
        <v>0</v>
      </c>
      <c r="P65" s="97">
        <v>0</v>
      </c>
    </row>
    <row r="66" spans="2:16" x14ac:dyDescent="0.25">
      <c r="B66" s="98" t="s">
        <v>80</v>
      </c>
      <c r="C66" s="98" t="s">
        <v>81</v>
      </c>
      <c r="D66" s="111" t="s">
        <v>2317</v>
      </c>
      <c r="E66" s="89" t="s">
        <v>2310</v>
      </c>
      <c r="F66" s="89">
        <v>2</v>
      </c>
      <c r="G66" s="89" t="s">
        <v>48</v>
      </c>
      <c r="H66" s="97" t="s">
        <v>2311</v>
      </c>
      <c r="I66" s="97" t="s">
        <v>32</v>
      </c>
      <c r="J66" s="96">
        <v>2700</v>
      </c>
      <c r="K66" s="96"/>
      <c r="L66" s="97">
        <v>0</v>
      </c>
      <c r="M66" s="98">
        <v>0</v>
      </c>
      <c r="N66" s="98">
        <v>0</v>
      </c>
      <c r="O66" s="98">
        <v>0</v>
      </c>
      <c r="P66" s="97">
        <v>0</v>
      </c>
    </row>
    <row r="67" spans="2:16" x14ac:dyDescent="0.25">
      <c r="B67" s="98" t="s">
        <v>80</v>
      </c>
      <c r="C67" s="98" t="s">
        <v>81</v>
      </c>
      <c r="D67" s="111" t="s">
        <v>2318</v>
      </c>
      <c r="E67" s="89" t="s">
        <v>15</v>
      </c>
      <c r="F67" s="89">
        <v>36</v>
      </c>
      <c r="G67" s="89" t="s">
        <v>48</v>
      </c>
      <c r="H67" s="97" t="s">
        <v>2311</v>
      </c>
      <c r="I67" s="97" t="s">
        <v>32</v>
      </c>
      <c r="J67" s="96">
        <v>2700</v>
      </c>
      <c r="K67" s="96"/>
      <c r="L67" s="97">
        <v>0</v>
      </c>
      <c r="M67" s="98">
        <v>0</v>
      </c>
      <c r="N67" s="98">
        <v>0</v>
      </c>
      <c r="O67" s="98">
        <v>0</v>
      </c>
      <c r="P67" s="97">
        <v>0</v>
      </c>
    </row>
    <row r="68" spans="2:16" x14ac:dyDescent="0.25">
      <c r="B68" s="98" t="s">
        <v>80</v>
      </c>
      <c r="C68" s="98" t="s">
        <v>81</v>
      </c>
      <c r="D68" s="111" t="s">
        <v>2319</v>
      </c>
      <c r="E68" s="89" t="s">
        <v>15</v>
      </c>
      <c r="F68" s="89">
        <v>8</v>
      </c>
      <c r="G68" s="89" t="s">
        <v>48</v>
      </c>
      <c r="H68" s="97" t="s">
        <v>2311</v>
      </c>
      <c r="I68" s="97" t="s">
        <v>32</v>
      </c>
      <c r="J68" s="96">
        <v>2700</v>
      </c>
      <c r="K68" s="96"/>
      <c r="L68" s="97">
        <v>0</v>
      </c>
      <c r="M68" s="98">
        <v>0</v>
      </c>
      <c r="N68" s="98">
        <v>0</v>
      </c>
      <c r="O68" s="98">
        <v>0</v>
      </c>
      <c r="P68" s="97">
        <v>0</v>
      </c>
    </row>
    <row r="69" spans="2:16" x14ac:dyDescent="0.25">
      <c r="B69" s="98" t="s">
        <v>80</v>
      </c>
      <c r="C69" s="98" t="s">
        <v>81</v>
      </c>
      <c r="D69" s="111" t="s">
        <v>2320</v>
      </c>
      <c r="E69" s="89" t="s">
        <v>15</v>
      </c>
      <c r="F69" s="89">
        <v>16</v>
      </c>
      <c r="G69" s="89" t="s">
        <v>48</v>
      </c>
      <c r="H69" s="97" t="s">
        <v>2311</v>
      </c>
      <c r="I69" s="97" t="s">
        <v>32</v>
      </c>
      <c r="J69" s="96">
        <v>2700</v>
      </c>
      <c r="K69" s="96"/>
      <c r="L69" s="97">
        <v>0</v>
      </c>
      <c r="M69" s="98">
        <v>0</v>
      </c>
      <c r="N69" s="98">
        <v>0</v>
      </c>
      <c r="O69" s="98">
        <v>0</v>
      </c>
      <c r="P69" s="97">
        <v>0</v>
      </c>
    </row>
    <row r="70" spans="2:16" x14ac:dyDescent="0.25">
      <c r="B70" s="98" t="s">
        <v>80</v>
      </c>
      <c r="C70" s="98" t="s">
        <v>81</v>
      </c>
      <c r="D70" s="111" t="s">
        <v>2321</v>
      </c>
      <c r="E70" s="89" t="s">
        <v>2310</v>
      </c>
      <c r="F70" s="89">
        <v>2</v>
      </c>
      <c r="G70" s="89" t="s">
        <v>48</v>
      </c>
      <c r="H70" s="97" t="s">
        <v>2311</v>
      </c>
      <c r="I70" s="97" t="s">
        <v>32</v>
      </c>
      <c r="J70" s="96">
        <v>2700</v>
      </c>
      <c r="K70" s="96"/>
      <c r="L70" s="97">
        <v>0</v>
      </c>
      <c r="M70" s="98">
        <v>0</v>
      </c>
      <c r="N70" s="98">
        <v>0</v>
      </c>
      <c r="O70" s="98">
        <v>0</v>
      </c>
      <c r="P70" s="97">
        <v>0</v>
      </c>
    </row>
    <row r="71" spans="2:16" x14ac:dyDescent="0.25">
      <c r="B71" s="98" t="s">
        <v>80</v>
      </c>
      <c r="C71" s="98" t="s">
        <v>81</v>
      </c>
      <c r="D71" s="111" t="s">
        <v>2322</v>
      </c>
      <c r="E71" s="89" t="s">
        <v>2310</v>
      </c>
      <c r="F71" s="89">
        <v>4</v>
      </c>
      <c r="G71" s="89" t="s">
        <v>48</v>
      </c>
      <c r="H71" s="97" t="s">
        <v>2311</v>
      </c>
      <c r="I71" s="97" t="s">
        <v>32</v>
      </c>
      <c r="J71" s="96">
        <v>2700</v>
      </c>
      <c r="K71" s="96"/>
      <c r="L71" s="97">
        <v>0</v>
      </c>
      <c r="M71" s="98">
        <v>0</v>
      </c>
      <c r="N71" s="98">
        <v>0</v>
      </c>
      <c r="O71" s="98">
        <v>0</v>
      </c>
      <c r="P71" s="97">
        <v>0</v>
      </c>
    </row>
    <row r="72" spans="2:16" x14ac:dyDescent="0.25">
      <c r="B72" s="98" t="s">
        <v>80</v>
      </c>
      <c r="C72" s="98" t="s">
        <v>81</v>
      </c>
      <c r="D72" s="111" t="s">
        <v>2323</v>
      </c>
      <c r="E72" s="89" t="s">
        <v>2310</v>
      </c>
      <c r="F72" s="89">
        <v>2</v>
      </c>
      <c r="G72" s="89" t="s">
        <v>48</v>
      </c>
      <c r="H72" s="97" t="s">
        <v>2311</v>
      </c>
      <c r="I72" s="97" t="s">
        <v>32</v>
      </c>
      <c r="J72" s="96">
        <v>2700</v>
      </c>
      <c r="K72" s="96"/>
      <c r="L72" s="97">
        <v>0</v>
      </c>
      <c r="M72" s="98">
        <v>0</v>
      </c>
      <c r="N72" s="98">
        <v>0</v>
      </c>
      <c r="O72" s="98">
        <v>0</v>
      </c>
      <c r="P72" s="97">
        <v>0</v>
      </c>
    </row>
    <row r="73" spans="2:16" x14ac:dyDescent="0.25">
      <c r="B73" s="98" t="s">
        <v>80</v>
      </c>
      <c r="C73" s="98" t="s">
        <v>81</v>
      </c>
      <c r="D73" s="111" t="s">
        <v>2324</v>
      </c>
      <c r="E73" s="89" t="s">
        <v>2310</v>
      </c>
      <c r="F73" s="89">
        <v>3</v>
      </c>
      <c r="G73" s="89" t="s">
        <v>48</v>
      </c>
      <c r="H73" s="97" t="s">
        <v>2311</v>
      </c>
      <c r="I73" s="97" t="s">
        <v>32</v>
      </c>
      <c r="J73" s="96">
        <v>2700</v>
      </c>
      <c r="K73" s="96"/>
      <c r="L73" s="97">
        <v>0</v>
      </c>
      <c r="M73" s="98">
        <v>0</v>
      </c>
      <c r="N73" s="98">
        <v>0</v>
      </c>
      <c r="O73" s="98">
        <v>0</v>
      </c>
      <c r="P73" s="97">
        <v>0</v>
      </c>
    </row>
    <row r="74" spans="2:16" x14ac:dyDescent="0.25">
      <c r="B74" s="98" t="s">
        <v>80</v>
      </c>
      <c r="C74" s="98" t="s">
        <v>81</v>
      </c>
      <c r="D74" s="111" t="s">
        <v>2325</v>
      </c>
      <c r="E74" s="89" t="s">
        <v>15</v>
      </c>
      <c r="F74" s="89">
        <v>10</v>
      </c>
      <c r="G74" s="89" t="s">
        <v>48</v>
      </c>
      <c r="H74" s="97" t="s">
        <v>2311</v>
      </c>
      <c r="I74" s="97" t="s">
        <v>32</v>
      </c>
      <c r="J74" s="96">
        <v>2700</v>
      </c>
      <c r="K74" s="96"/>
      <c r="L74" s="97">
        <v>0</v>
      </c>
      <c r="M74" s="98">
        <v>0</v>
      </c>
      <c r="N74" s="98">
        <v>0</v>
      </c>
      <c r="O74" s="98">
        <v>0</v>
      </c>
      <c r="P74" s="97">
        <v>0</v>
      </c>
    </row>
    <row r="75" spans="2:16" x14ac:dyDescent="0.25">
      <c r="B75" s="98" t="s">
        <v>80</v>
      </c>
      <c r="C75" s="98" t="s">
        <v>81</v>
      </c>
      <c r="D75" s="111" t="s">
        <v>2326</v>
      </c>
      <c r="E75" s="89" t="s">
        <v>2310</v>
      </c>
      <c r="F75" s="89">
        <v>1</v>
      </c>
      <c r="G75" s="89" t="s">
        <v>48</v>
      </c>
      <c r="H75" s="97" t="s">
        <v>2311</v>
      </c>
      <c r="I75" s="97" t="s">
        <v>32</v>
      </c>
      <c r="J75" s="96">
        <v>2700</v>
      </c>
      <c r="K75" s="96"/>
      <c r="L75" s="97">
        <v>0</v>
      </c>
      <c r="M75" s="98">
        <v>0</v>
      </c>
      <c r="N75" s="98">
        <v>0</v>
      </c>
      <c r="O75" s="98">
        <v>0</v>
      </c>
      <c r="P75" s="97">
        <v>0</v>
      </c>
    </row>
    <row r="76" spans="2:16" x14ac:dyDescent="0.25">
      <c r="B76" s="98" t="s">
        <v>80</v>
      </c>
      <c r="C76" s="98" t="s">
        <v>81</v>
      </c>
      <c r="D76" s="111" t="s">
        <v>2327</v>
      </c>
      <c r="E76" s="89" t="s">
        <v>15</v>
      </c>
      <c r="F76" s="89">
        <v>7</v>
      </c>
      <c r="G76" s="89" t="s">
        <v>48</v>
      </c>
      <c r="H76" s="97" t="s">
        <v>2311</v>
      </c>
      <c r="I76" s="97" t="s">
        <v>32</v>
      </c>
      <c r="J76" s="96">
        <v>2700</v>
      </c>
      <c r="K76" s="96"/>
      <c r="L76" s="97">
        <v>0</v>
      </c>
      <c r="M76" s="98">
        <v>0</v>
      </c>
      <c r="N76" s="98">
        <v>0</v>
      </c>
      <c r="O76" s="98">
        <v>0</v>
      </c>
      <c r="P76" s="97">
        <v>0</v>
      </c>
    </row>
    <row r="77" spans="2:16" x14ac:dyDescent="0.25">
      <c r="B77" s="98" t="s">
        <v>80</v>
      </c>
      <c r="C77" s="98" t="s">
        <v>81</v>
      </c>
      <c r="D77" s="111" t="s">
        <v>2328</v>
      </c>
      <c r="E77" s="89" t="s">
        <v>15</v>
      </c>
      <c r="F77" s="89">
        <v>8</v>
      </c>
      <c r="G77" s="89" t="s">
        <v>48</v>
      </c>
      <c r="H77" s="97" t="s">
        <v>2311</v>
      </c>
      <c r="I77" s="97" t="s">
        <v>32</v>
      </c>
      <c r="J77" s="96">
        <v>2700</v>
      </c>
      <c r="K77" s="96"/>
      <c r="L77" s="97">
        <v>0</v>
      </c>
      <c r="M77" s="98">
        <v>0</v>
      </c>
      <c r="N77" s="98">
        <v>0</v>
      </c>
      <c r="O77" s="98">
        <v>0</v>
      </c>
      <c r="P77" s="97"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B640BD0-B781-46C1-B1A4-2732337B8A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0"/>
              <x14:cfIcon iconSet="3TrafficLights1" iconId="2"/>
            </x14:iconSet>
          </x14:cfRule>
          <xm:sqref>L9:L4000</xm:sqref>
        </x14:conditionalFormatting>
        <x14:conditionalFormatting xmlns:xm="http://schemas.microsoft.com/office/excel/2006/main">
          <x14:cfRule type="iconSet" priority="1" id="{985BC39C-B99E-4DD6-8511-1D6E9268B57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0"/>
              <x14:cfIcon iconSet="3TrafficLights1" iconId="2"/>
            </x14:iconSet>
          </x14:cfRule>
          <xm:sqref>P9:P4000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AE9A-3675-443B-A6B1-F376FC8BB3AF}">
  <dimension ref="A1:C2"/>
  <sheetViews>
    <sheetView workbookViewId="0"/>
  </sheetViews>
  <sheetFormatPr defaultRowHeight="15" x14ac:dyDescent="0.25"/>
  <cols>
    <col min="1" max="1" width="13.28515625" customWidth="1"/>
    <col min="2" max="2" width="10.140625" customWidth="1"/>
    <col min="3" max="3" width="25.7109375" customWidth="1"/>
  </cols>
  <sheetData>
    <row r="1" spans="1:3" x14ac:dyDescent="0.25">
      <c r="A1" s="80" t="s">
        <v>2329</v>
      </c>
      <c r="B1" s="79" t="s">
        <v>2330</v>
      </c>
      <c r="C1" t="s">
        <v>2331</v>
      </c>
    </row>
    <row r="2" spans="1:3" x14ac:dyDescent="0.25">
      <c r="A2" s="84" t="s">
        <v>2332</v>
      </c>
      <c r="B2" s="82" t="s">
        <v>2333</v>
      </c>
      <c r="C2" s="112" t="s">
        <v>2334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Apuração</vt:lpstr>
      <vt:lpstr>Metas e realizado</vt:lpstr>
      <vt:lpstr>Sort. - Pond</vt:lpstr>
      <vt:lpstr>Sort. - Num</vt:lpstr>
      <vt:lpstr>EANS_PPA</vt:lpstr>
      <vt:lpstr>MetasExecução</vt:lpstr>
      <vt:lpstr>Resumo_Ponderada</vt:lpstr>
      <vt:lpstr>mira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</dc:creator>
  <cp:lastModifiedBy>Danyllo Martins</cp:lastModifiedBy>
  <dcterms:created xsi:type="dcterms:W3CDTF">2021-02-22T09:05:16Z</dcterms:created>
  <dcterms:modified xsi:type="dcterms:W3CDTF">2026-06-05T11:56:48Z</dcterms:modified>
</cp:coreProperties>
</file>